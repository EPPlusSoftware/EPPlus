
<file path=[Content_Types].xml><?xml version="1.0" encoding="utf-8"?>
<Types xmlns="http://schemas.openxmlformats.org/package/2006/content-types">
  <Default Extension="552fe8a4eebb6eb339b10226d84bd033" ContentType="image/jpeg"/>
  <Default Extension="a5e66df12e2c87d6b1c2825f3d9fd432" ContentType="image/jpeg"/>
  <Default Extension="rels" ContentType="application/vnd.openxmlformats-package.relationships+xml"/>
  <Default Extension="xml" ContentType="application/xml"/>
  <Default Extension="XNRskdpV1Zf1rdimnjDDcCRMjxnmT8dW2Zgq"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epplusTest\Workbooks\"/>
    </mc:Choice>
  </mc:AlternateContent>
  <xr:revisionPtr revIDLastSave="0" documentId="8_{3F26586F-ACB1-4258-B13C-D2D3392530E8}" xr6:coauthVersionLast="47" xr6:coauthVersionMax="47" xr10:uidLastSave="{00000000-0000-0000-0000-000000000000}"/>
  <bookViews>
    <workbookView xWindow="33945" yWindow="4215" windowWidth="29400" windowHeight="15960" xr2:uid="{68C59EC1-3DBF-484D-9FD5-0070645911A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a="1"/>
  <c r="P3" i="1"/>
  <c r="P2" i="1" a="1"/>
  <c r="P2" i="1" s="1"/>
  <c r="P1" i="1" a="1"/>
  <c r="P1" i="1" s="1"/>
  <c r="O3" i="1" a="1"/>
  <c r="O3" i="1" s="1"/>
  <c r="O2" i="1" a="1"/>
  <c r="O2" i="1" s="1"/>
  <c r="O1" i="1" a="1"/>
  <c r="O1" i="1" s="1"/>
  <c r="N3" i="1" a="1"/>
  <c r="N3" i="1" s="1"/>
  <c r="N2" i="1" a="1"/>
  <c r="N2" i="1" s="1"/>
  <c r="N1" i="1" a="1"/>
  <c r="N1" i="1" s="1"/>
  <c r="L3" i="1" a="1"/>
  <c r="L3" i="1"/>
  <c r="L2" i="1" a="1"/>
  <c r="L2" i="1" s="1"/>
  <c r="L1" i="1" a="1"/>
  <c r="L1" i="1" s="1"/>
  <c r="J3" i="1" a="1"/>
  <c r="J3" i="1"/>
  <c r="J2" i="1" a="1"/>
  <c r="J2" i="1"/>
  <c r="J1" i="1" a="1"/>
  <c r="J1" i="1"/>
  <c r="H1" i="1" a="1"/>
  <c r="H1" i="1" s="1"/>
  <c r="H2" i="1" a="1"/>
  <c r="H2" i="1" s="1"/>
  <c r="H3" i="1" a="1"/>
  <c r="H3" i="1" s="1"/>
  <c r="G1" i="1" a="1"/>
  <c r="G1" i="1" s="1"/>
  <c r="G2" i="1" a="1"/>
  <c r="G2" i="1" s="1"/>
  <c r="G3" i="1" a="1"/>
  <c r="G3" i="1" s="1"/>
  <c r="F1" i="1" a="1"/>
  <c r="F1" i="1" s="1"/>
  <c r="F2" i="1" a="1"/>
  <c r="F2" i="1" s="1"/>
  <c r="F3" i="1" a="1"/>
  <c r="F3" i="1" s="1"/>
  <c r="E1" i="1" a="1"/>
  <c r="E1" i="1" s="1"/>
  <c r="E2" i="1" a="1"/>
  <c r="E2" i="1" s="1"/>
  <c r="E3" i="1" a="1"/>
  <c r="E3" i="1" s="1"/>
  <c r="D1" i="1" a="1"/>
  <c r="D1" i="1" s="1"/>
  <c r="D2" i="1" a="1"/>
  <c r="D2" i="1" s="1"/>
  <c r="D3" i="1" a="1"/>
  <c r="D3" i="1" s="1"/>
  <c r="C1" i="1" a="1"/>
  <c r="C1" i="1" s="1"/>
  <c r="C2" i="1" a="1"/>
  <c r="C2" i="1" s="1"/>
  <c r="C3" i="1" a="1"/>
  <c r="C3" i="1" s="1"/>
  <c r="B1" i="1" a="1"/>
  <c r="B1" i="1" s="1"/>
  <c r="B2" i="1" a="1"/>
  <c r="B2" i="1" s="1"/>
  <c r="B3" i="1" a="1"/>
  <c r="B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8">
    <bk>
      <extLst>
        <ext uri="{3e2802c4-a4d2-4d8b-9148-e3be6c30e623}">
          <xlrd:rvb i="0"/>
        </ext>
      </extLst>
    </bk>
    <bk>
      <extLst>
        <ext uri="{3e2802c4-a4d2-4d8b-9148-e3be6c30e623}">
          <xlrd:rvb i="12"/>
        </ext>
      </extLst>
    </bk>
    <bk>
      <extLst>
        <ext uri="{3e2802c4-a4d2-4d8b-9148-e3be6c30e623}">
          <xlrd:rvb i="2"/>
        </ext>
      </extLst>
    </bk>
    <bk>
      <extLst>
        <ext uri="{3e2802c4-a4d2-4d8b-9148-e3be6c30e623}">
          <xlrd:rvb i="13"/>
        </ext>
      </extLst>
    </bk>
    <bk>
      <extLst>
        <ext uri="{3e2802c4-a4d2-4d8b-9148-e3be6c30e623}">
          <xlrd:rvb i="5"/>
        </ext>
      </extLst>
    </bk>
    <bk>
      <extLst>
        <ext uri="{3e2802c4-a4d2-4d8b-9148-e3be6c30e623}">
          <xlrd:rvb i="10"/>
        </ext>
      </extLst>
    </bk>
    <bk>
      <extLst>
        <ext uri="{3e2802c4-a4d2-4d8b-9148-e3be6c30e623}">
          <xlrd:rvb i="14"/>
        </ext>
      </extLst>
    </bk>
    <bk>
      <extLst>
        <ext uri="{3e2802c4-a4d2-4d8b-9148-e3be6c30e623}">
          <xlrd:rvb i="16"/>
        </ext>
      </extLst>
    </bk>
    <bk>
      <extLst>
        <ext uri="{3e2802c4-a4d2-4d8b-9148-e3be6c30e623}">
          <xlrd:rvb i="18"/>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9"/>
        </ext>
      </extLst>
    </bk>
    <bk>
      <extLst>
        <ext uri="{3e2802c4-a4d2-4d8b-9148-e3be6c30e623}">
          <xlrd:rvb i="134"/>
        </ext>
      </extLst>
    </bk>
    <bk>
      <extLst>
        <ext uri="{3e2802c4-a4d2-4d8b-9148-e3be6c30e623}">
          <xlrd:rvb i="34"/>
        </ext>
      </extLst>
    </bk>
    <bk>
      <extLst>
        <ext uri="{3e2802c4-a4d2-4d8b-9148-e3be6c30e623}">
          <xlrd:rvb i="135"/>
        </ext>
      </extLst>
    </bk>
    <bk>
      <extLst>
        <ext uri="{3e2802c4-a4d2-4d8b-9148-e3be6c30e623}">
          <xlrd:rvb i="137"/>
        </ext>
      </extLst>
    </bk>
    <bk>
      <extLst>
        <ext uri="{3e2802c4-a4d2-4d8b-9148-e3be6c30e623}">
          <xlrd:rvb i="139"/>
        </ext>
      </extLst>
    </bk>
    <bk>
      <extLst>
        <ext uri="{3e2802c4-a4d2-4d8b-9148-e3be6c30e623}">
          <xlrd:rvb i="142"/>
        </ext>
      </extLst>
    </bk>
    <bk>
      <extLst>
        <ext uri="{3e2802c4-a4d2-4d8b-9148-e3be6c30e623}">
          <xlrd:rvb i="143"/>
        </ext>
      </extLst>
    </bk>
    <bk>
      <extLst>
        <ext uri="{3e2802c4-a4d2-4d8b-9148-e3be6c30e623}">
          <xlrd:rvb i="146"/>
        </ext>
      </extLst>
    </bk>
    <bk>
      <extLst>
        <ext uri="{3e2802c4-a4d2-4d8b-9148-e3be6c30e623}">
          <xlrd:rvb i="147"/>
        </ext>
      </extLst>
    </bk>
    <bk>
      <extLst>
        <ext uri="{3e2802c4-a4d2-4d8b-9148-e3be6c30e623}">
          <xlrd:rvb i="149"/>
        </ext>
      </extLst>
    </bk>
    <bk>
      <extLst>
        <ext uri="{3e2802c4-a4d2-4d8b-9148-e3be6c30e623}">
          <xlrd:rvb i="154"/>
        </ext>
      </extLst>
    </bk>
    <bk>
      <extLst>
        <ext uri="{3e2802c4-a4d2-4d8b-9148-e3be6c30e623}">
          <xlrd:rvb i="259"/>
        </ext>
      </extLst>
    </bk>
    <bk>
      <extLst>
        <ext uri="{3e2802c4-a4d2-4d8b-9148-e3be6c30e623}">
          <xlrd:rvb i="261"/>
        </ext>
      </extLst>
    </bk>
    <bk>
      <extLst>
        <ext uri="{3e2802c4-a4d2-4d8b-9148-e3be6c30e623}">
          <xlrd:rvb i="263"/>
        </ext>
      </extLst>
    </bk>
    <bk>
      <extLst>
        <ext uri="{3e2802c4-a4d2-4d8b-9148-e3be6c30e623}">
          <xlrd:rvb i="266"/>
        </ext>
      </extLst>
    </bk>
  </futureMetadata>
  <cellMetadata count="1">
    <bk>
      <rc t="1" v="0"/>
    </bk>
  </cellMetadata>
  <valueMetadata count="2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valueMetadata>
</metadata>
</file>

<file path=xl/sharedStrings.xml><?xml version="1.0" encoding="utf-8"?>
<sst xmlns="http://schemas.openxmlformats.org/spreadsheetml/2006/main"/>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kr]_-;\-* #,##0.00\ [$kr]_-;_-* &quot;-&quot;??\ [$kr]_-;_-@_-" x16r2:formatCode16="_-* #,##0.00\ [$kr-en-SE]_-;\-* #,##0.00\ [$kr-en-SE]_-;_-* &quot;-&quot;??\ [$kr-en-SE]_-;_-@_-"/>
    <numFmt numFmtId="169" formatCode="_-* #,##0\ [$kr]_-;\-* #,##0\ [$kr]_-;_-* &quot;-&quot;\ [$kr]_-;_-@_-" x16r2:formatCode16="_-* #,##0\ [$kr-en-SE]_-;\-* #,##0\ [$kr-en-SE]_-;_-* &quot;-&quot;\ [$kr-en-SE]_-;_-@_-"/>
    <numFmt numFmtId="170" formatCode="_-[$¥-411]* #,##0_-;\-[$¥-411]* #,##0_-;_-[$¥-411]* &quot;-&quot;_-;_-@_-"/>
    <numFmt numFmtId="171" formatCode="_([$$-409]* #,##0_);_([$$-409]* \(#,##0\);_([$$-409]*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164" fontId="0" fillId="0" borderId="0" xfId="0" applyNumberFormat="1"/>
    <xf numFmtId="10" fontId="0" fillId="0" borderId="0" xfId="0" applyNumberFormat="1"/>
    <xf numFmtId="169" fontId="0" fillId="0" borderId="0" xfId="0" applyNumberFormat="1"/>
    <xf numFmtId="170" fontId="0" fillId="0" borderId="0" xfId="0" applyNumberFormat="1"/>
    <xf numFmtId="171"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Shinjuku" TargetMode="External"/><Relationship Id="rId13" Type="http://schemas.openxmlformats.org/officeDocument/2006/relationships/image" Target="../media/image3.XNRskdpV1Zf1rdimnjDDcCRMjxnmT8dW2Zgq"/><Relationship Id="rId3" Type="http://schemas.openxmlformats.org/officeDocument/2006/relationships/image" Target="../media/image1.552fe8a4eebb6eb339b10226d84bd033"/><Relationship Id="rId7" Type="http://schemas.openxmlformats.org/officeDocument/2006/relationships/hyperlink" Target="https://www.bing.com/th?id=OSK.25d0ee44a4d2bdb95904660cb7ff9079&amp;qlt=95" TargetMode="External"/><Relationship Id="rId12" Type="http://schemas.openxmlformats.org/officeDocument/2006/relationships/hyperlink" Target="https://www.bing.com/images/search?form=xlimg&amp;q=Dallas" TargetMode="External"/><Relationship Id="rId2" Type="http://schemas.openxmlformats.org/officeDocument/2006/relationships/hyperlink" Target="https://www.bing.com/images/search?form=xlimg&amp;q=Stockholm" TargetMode="External"/><Relationship Id="rId1" Type="http://schemas.openxmlformats.org/officeDocument/2006/relationships/hyperlink" Target="https://www.bing.com/th?id=OSK.552fe8a4eebb6eb339b10226d84bd033&amp;qlt=95" TargetMode="External"/><Relationship Id="rId6" Type="http://schemas.openxmlformats.org/officeDocument/2006/relationships/image" Target="../media/image2.a5e66df12e2c87d6b1c2825f3d9fd432"/><Relationship Id="rId11" Type="http://schemas.openxmlformats.org/officeDocument/2006/relationships/hyperlink" Target="https://www.bing.com/th?id=OSK.XNRskdpV1Zf1rdimnjDDcCRMjxnmT8dW2Zgq-RM2uaE&amp;qlt=95" TargetMode="External"/><Relationship Id="rId5" Type="http://schemas.openxmlformats.org/officeDocument/2006/relationships/hyperlink" Target="https://www.bing.com/images/search?form=xlimg&amp;q=Tokyo" TargetMode="External"/><Relationship Id="rId15" Type="http://schemas.openxmlformats.org/officeDocument/2006/relationships/hyperlink" Target="https://www.bing.com/images/search?form=xlimg&amp;q=United%20States" TargetMode="External"/><Relationship Id="rId10" Type="http://schemas.openxmlformats.org/officeDocument/2006/relationships/hyperlink" Target="https://www.bing.com/images/search?form=xlimg&amp;q=Japan" TargetMode="External"/><Relationship Id="rId4" Type="http://schemas.openxmlformats.org/officeDocument/2006/relationships/hyperlink" Target="https://www.bing.com/th?id=OSK.a5e66df12e2c87d6b1c2825f3d9fd432&amp;qlt=95" TargetMode="External"/><Relationship Id="rId9" Type="http://schemas.openxmlformats.org/officeDocument/2006/relationships/hyperlink" Target="https://www.bing.com/th?id=OSK.mTs9AdlNDLziaMN3BIhJpWCGZaOOUwqIR2jN3FJEeTw&amp;qlt=95" TargetMode="External"/><Relationship Id="rId14" Type="http://schemas.openxmlformats.org/officeDocument/2006/relationships/hyperlink" Target="https://www.bing.com/th?id=OSK.08d481ce2e6378c8b3492a5438438208&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blip r:id="rId3"/>
  </webImageSrd>
  <webImageSrd>
    <address r:id="rId4"/>
    <moreImagesAddress r:id="rId5"/>
    <blip r:id="rId6"/>
  </webImageSrd>
  <webImageSrd>
    <address r:id="rId7"/>
    <moreImagesAddress r:id="rId8"/>
  </webImageSrd>
  <webImageSrd>
    <address r:id="rId9"/>
    <moreImagesAddress r:id="rId10"/>
  </webImageSrd>
  <webImageSrd>
    <address r:id="rId11"/>
    <moreImagesAddress r:id="rId12"/>
    <blip r:id="rId13"/>
  </webImageSrd>
  <webImageSrd>
    <address r:id="rId14"/>
    <moreImagesAddress r:id="rId15"/>
  </webImageSrd>
</webImagesSrd>
</file>

<file path=xl/richData/rdarray.xml><?xml version="1.0" encoding="utf-8"?>
<arrayData xmlns="http://schemas.microsoft.com/office/spreadsheetml/2017/richdata2" count="12">
  <a r="1">
    <v t="r">6</v>
  </a>
  <a r="1">
    <v t="r">31</v>
  </a>
  <a r="1">
    <v t="s">Japan Standard Time</v>
  </a>
  <a r="1">
    <v t="r">40</v>
  </a>
  <a r="1">
    <v t="r">64</v>
  </a>
  <a r="1">
    <v t="s">Japanese language</v>
  </a>
  <a r="46">
    <v t="r">83</v>
    <v t="r">84</v>
    <v t="r">85</v>
    <v t="r">86</v>
    <v t="r">87</v>
    <v t="r">88</v>
    <v t="r">89</v>
    <v t="r">90</v>
    <v t="r">91</v>
    <v t="r">92</v>
    <v t="r">93</v>
    <v t="r">94</v>
    <v t="r">26</v>
    <v t="r">95</v>
    <v t="r">96</v>
    <v t="r">97</v>
    <v t="r">98</v>
    <v t="r">99</v>
    <v t="r">100</v>
    <v t="r">101</v>
    <v t="r">102</v>
    <v t="r">103</v>
    <v t="r">104</v>
    <v t="r">105</v>
    <v t="r">106</v>
    <v t="r">107</v>
    <v t="r">108</v>
    <v t="r">109</v>
    <v t="r">110</v>
    <v t="r">111</v>
    <v t="r">112</v>
    <v t="r">113</v>
    <v t="r">114</v>
    <v t="r">115</v>
    <v t="r">116</v>
    <v t="r">117</v>
    <v t="r">118</v>
    <v t="r">119</v>
    <v t="r">120</v>
    <v t="r">121</v>
    <v t="r">122</v>
    <v t="r">123</v>
    <v t="r">124</v>
    <v t="r">125</v>
    <v t="r">126</v>
    <v t="r">127</v>
  </a>
  <a r="1">
    <v t="r">150</v>
  </a>
  <a r="4">
    <v t="r">176</v>
    <v t="r">177</v>
    <v t="r">178</v>
    <v t="r">179</v>
  </a>
  <a r="1">
    <v t="s">English language</v>
  </a>
  <a r="55">
    <v t="r">198</v>
    <v t="r">199</v>
    <v t="r">200</v>
    <v t="r">201</v>
    <v t="r">202</v>
    <v t="r">203</v>
    <v t="r">204</v>
    <v t="r">205</v>
    <v t="r">206</v>
    <v t="r">207</v>
    <v t="r">208</v>
    <v t="r">209</v>
    <v t="r">210</v>
    <v t="r">211</v>
    <v t="r">212</v>
    <v t="r">213</v>
    <v t="r">214</v>
    <v t="r">215</v>
    <v t="r">216</v>
    <v t="r">217</v>
    <v t="r">218</v>
    <v t="r">219</v>
    <v t="r">220</v>
    <v t="r">221</v>
    <v t="r">222</v>
    <v t="r">223</v>
    <v t="r">224</v>
    <v t="r">225</v>
    <v t="r">226</v>
    <v t="r">227</v>
    <v t="r">228</v>
    <v t="r">229</v>
    <v t="r">230</v>
    <v t="r">231</v>
    <v t="r">232</v>
    <v t="r">233</v>
    <v t="r">234</v>
    <v t="r">235</v>
    <v t="r">236</v>
    <v t="r">144</v>
    <v t="r">237</v>
    <v t="r">238</v>
    <v t="r">239</v>
    <v t="r">240</v>
    <v t="r">241</v>
    <v t="r">242</v>
    <v t="r">243</v>
    <v t="r">244</v>
    <v t="r">245</v>
    <v t="r">246</v>
    <v t="r">247</v>
    <v t="r">248</v>
    <v t="r">249</v>
    <v t="r">250</v>
    <v t="r">251</v>
  </a>
  <a r="6">
    <v t="s">Samoa Time Zone</v>
    <v t="s">Atlantic Time Zone</v>
    <v t="s">Central Time Zone</v>
    <v t="s">Alaska Time Zone</v>
    <v t="s">Mountain Time Zone</v>
    <v t="s">Chamorro Time Zone</v>
  </a>
</arrayData>
</file>

<file path=xl/richData/rdrichvalue.xml><?xml version="1.0" encoding="utf-8"?>
<rvData xmlns="http://schemas.microsoft.com/office/spreadsheetml/2017/richdata" count="267">
  <rv s="0">
    <v>536870912</v>
    <v>Stockholm</v>
    <v>9daa4a8d-0e69-da3a-672e-16d4743a665b</v>
    <v>en-GB</v>
    <v>Map</v>
  </rv>
  <rv s="0">
    <v>536870912</v>
    <v>Stockholm County</v>
    <v>41fffb7d-bbe9-8d1b-286b-f0fdeb3ab886</v>
    <v>en-GB</v>
    <v>Map</v>
  </rv>
  <rv s="1">
    <fb>187.16</fb>
    <v>8</v>
  </rv>
  <rv s="0">
    <v>536870912</v>
    <v>Kalmar Union</v>
    <v>723b5437-f021-ebd7-3a7a-2fcc8a5bab2d</v>
    <v>en-GB</v>
    <v>Map</v>
  </rv>
  <rv s="2">
    <v>0</v>
    <v>6</v>
    <v>0</v>
    <v>7</v>
    <v>0</v>
    <v>Image of Stockholm</v>
  </rv>
  <rv s="1">
    <fb>59.329444444444</fb>
    <v>9</v>
  </rv>
  <rv s="0">
    <v>805306368</v>
    <v>Karin Wanngård (Mayor)</v>
    <v>ff45a3f2-13a5-6f7f-5794-0b7c2a0d7877</v>
    <v>en-GB</v>
    <v>Generic</v>
  </rv>
  <rv s="3">
    <v>0</v>
  </rv>
  <rv s="4">
    <v>https://www.bing.com/search?q=stockholm+sweden&amp;form=skydnc</v>
    <v>Learn more on Bing</v>
  </rv>
  <rv s="1">
    <fb>18.068611111111</fb>
    <v>9</v>
  </rv>
  <rv s="1">
    <fb>984748</fb>
    <v>8</v>
  </rv>
  <rv s="5">
    <v>#VALUE!</v>
    <v>en-GB</v>
    <v>9daa4a8d-0e69-da3a-672e-16d4743a665b</v>
    <v>536870912</v>
    <v>1</v>
    <v>1</v>
    <v>2</v>
    <v>Stockholm</v>
    <v>4</v>
    <v>5</v>
    <v>Map</v>
    <v>6</v>
    <v>7</v>
    <v>1</v>
    <v>2</v>
    <v>3</v>
    <v>Stockholm is the capital and most populous city of Sweden as well as the largest urban area in the Nordic countries. Approximately 1 million people live in the municipality, with 2.1 million in the urban area, and 2.4 million in the metropolitan ...</v>
    <v>4</v>
    <v>5</v>
    <v>7</v>
    <v>8</v>
    <v>9</v>
    <v>Stockholm</v>
    <v>10</v>
    <v>Stockholm</v>
    <v>mdp/vdpid/7005763932988112897</v>
  </rv>
  <rv s="6">
    <v>12</v>
    <v>Time zone(s)</v>
    <v>0</v>
  </rv>
  <rv s="7">
    <v>9</v>
    <v>6</v>
  </rv>
  <rv s="2">
    <v>0</v>
    <v>6</v>
    <v>0</v>
    <v>3</v>
    <v>0</v>
    <v>Image of Stockholm</v>
  </rv>
  <rv s="8">
    <v>en-GB</v>
    <v>avuw5r</v>
    <v>268435456</v>
    <v>1</v>
    <v>Powered by Refinitiv</v>
    <v>10</v>
    <v>SEK/USD</v>
    <v>11</v>
    <v>12</v>
    <v>Finance</v>
    <v>13</v>
    <v>0.1009</v>
    <v>8.9399999999999993E-2</v>
    <v>-4.0000000000000002E-4</v>
    <v>-4.3569999999999998E-3</v>
    <v>USD</v>
    <v>SEK</v>
    <v>9.1999999999999998E-2</v>
    <v>Currency Pair</v>
    <v>45643.4215625</v>
    <v>9.1399999999999995E-2</v>
    <v>Swedish Krona/US Dollar FX Cross Rate</v>
    <v>9.1800000000000007E-2</v>
    <v>9.1800000000000007E-2</v>
    <v>9.1399999999999995E-2</v>
    <v>SEKUSD</v>
    <v>SEK/USD</v>
  </rv>
  <rv s="9">
    <v>15</v>
  </rv>
  <rv s="8">
    <v>en-GB</v>
    <v>avuqoc</v>
    <v>268435456</v>
    <v>1</v>
    <v>Powered by Refinitiv</v>
    <v>10</v>
    <v>SEK/JPY</v>
    <v>11</v>
    <v>14</v>
    <v>Finance</v>
    <v>13</v>
    <v>15.4191</v>
    <v>13.232799999999999</v>
    <v>-8.1799999999999998E-2</v>
    <v>-5.7820000000000007E-3</v>
    <v>JPY</v>
    <v>SEK</v>
    <v>14.186199999999999</v>
    <v>Currency Pair</v>
    <v>45643.421550925923</v>
    <v>14.0532</v>
    <v>Swedish Krona/Japanese Yen FX Cross Rate</v>
    <v>14.146000000000001</v>
    <v>14.147</v>
    <v>14.065200000000001</v>
    <v>SEKJPY</v>
    <v>SEK/JPY</v>
  </rv>
  <rv s="9">
    <v>17</v>
  </rv>
  <rv s="4">
    <v>http://en.wikipedia.org/wiki/Public_domain</v>
    <v>Public domain</v>
  </rv>
  <rv s="4">
    <v>http://tr.wikipedia.org/wiki/Volvo</v>
    <v>Wikipedia</v>
  </rv>
  <rv s="10">
    <v>19</v>
    <v>20</v>
  </rv>
  <rv s="11">
    <v>20</v>
    <v>https://www.bing.com/th?id=AMMS_a85eaa33bec7c64e52ade4c230f05d74&amp;qlt=95</v>
    <v>21</v>
    <v>0</v>
    <v>https://www.bing.com/images/search?form=xlimg&amp;q=ab+volvo</v>
    <v>Image of Volvo AB</v>
  </rv>
  <rv s="4">
    <v>https://www.bing.com/financeapi/forcetrigger?t=amxhdm&amp;q=XSTO%3aVOLV+B&amp;form=skydnc</v>
    <v>Learn more on Bing</v>
  </rv>
  <rv s="12">
    <v>en-GB</v>
    <v>amxhdm</v>
    <v>268435456</v>
    <v>1</v>
    <v>Powered by Refinitiv</v>
    <v>15</v>
    <v>Volvo AB (XSTO:VOLV B)</v>
    <v>17</v>
    <v>18</v>
    <v>Finance</v>
    <v>19</v>
    <v>0.92569999999999997</v>
    <v>0.6</v>
    <v>2.183E-3</v>
    <v>SEK</v>
    <v>AB Volvo is the parent company of the Volvo Group. The Volvo Group is a manufacturer of trucks, buses, construction equipment, diesel engines, and marine and industrial engines. The Volvo Group also provides solutions for financing and service. Its segments include Trucks, Construction Equipment, Buses, Volvo Penta, Group functions &amp; Other, and Financial Services. The Company's brand portfolio consists of Volvo, Volvo Penta, UD, Terex Trucks, Renault Trucks, Prevost, Nova Bus and Mack. In addition to vehicles and machines, its offering includes a range of services, such as insurance, rental services, spare parts, preventive maintenance, service agreements, assistance services and information technology (IT) services. Its product range is divided into Vehicles and Services. The sale of new vehicles, machinery and engines comprise Vehicles, as well as the sale of used vehicles and machines, trailers, superstructures and special vehicles. Its Services include the sale of spare parts.</v>
    <v>90603</v>
    <v>NASDAQ Stockholm</v>
    <v>XSTO</v>
    <v>XSTO</v>
    <v>Gropegardsgatan 2, GOETEBORG, VASTRA GOTALANDS, 417 15 SE</v>
    <v>276</v>
    <v>22</v>
    <v>Machinery, Equipment &amp; Components</v>
    <v>Stock</v>
    <v>45643.411134259259</v>
    <v>23</v>
    <v>273.39999999999998</v>
    <v>559574400000</v>
    <v>Volvo AB</v>
    <v>Volvo AB</v>
    <v>274.2</v>
    <v>10.81</v>
    <v>274.89999999999998</v>
    <v>275.5</v>
    <v>2033452000</v>
    <v>VOLV B</v>
    <v>Volvo AB (XSTO:VOLV B)</v>
    <v>300647</v>
    <v>2341320</v>
    <v>1915</v>
  </rv>
  <rv s="9">
    <v>24</v>
  </rv>
  <rv s="0">
    <v>536870912</v>
    <v>Tokyo</v>
    <v>cb44a92f-6c6f-99c4-2ae3-51601fdc919a</v>
    <v>en-GB</v>
    <v>Map</v>
  </rv>
  <rv s="1">
    <fb>2194.0500000000002</fb>
    <v>8</v>
  </rv>
  <rv s="0">
    <v>536870912</v>
    <v>Shinjuku</v>
    <v>5632a22f-8419-6fb3-4f39-59c7c6326f8c</v>
    <v>en-GB</v>
    <v>Map</v>
  </rv>
  <rv s="0">
    <v>536870912</v>
    <v>Japan</v>
    <v>130d0438-fafb-cd2d-1a9e-1dd9c5aa87a9</v>
    <v>en-GB</v>
    <v>Map</v>
  </rv>
  <rv s="2">
    <v>1</v>
    <v>6</v>
    <v>21</v>
    <v>7</v>
    <v>0</v>
    <v>Image of Tokyo</v>
  </rv>
  <rv s="0">
    <v>805306368</v>
    <v>Yuriko Koike (Governor)</v>
    <v>3529b845-857d-a726-e527-f3385928e06a</v>
    <v>en-GB</v>
    <v>Generic</v>
  </rv>
  <rv s="3">
    <v>1</v>
  </rv>
  <rv s="4">
    <v>https://www.bing.com/search?q=tokyo&amp;form=skydnc</v>
    <v>Learn more on Bing</v>
  </rv>
  <rv s="1">
    <fb>14047594</fb>
    <v>8</v>
  </rv>
  <rv s="3">
    <v>2</v>
  </rv>
  <rv s="13">
    <v>#VALUE!</v>
    <v>en-GB</v>
    <v>cb44a92f-6c6f-99c4-2ae3-51601fdc919a</v>
    <v>536870912</v>
    <v>1</v>
    <v>23</v>
    <v>24</v>
    <v>Tokyo</v>
    <v>4</v>
    <v>5</v>
    <v>Map</v>
    <v>6</v>
    <v>25</v>
    <v>JP-13</v>
    <v>27</v>
    <v>28</v>
    <v>29</v>
    <v>Tokyo, officially the Tokyo Metropolis, is the capital city of Japan and one of the most populous cities in the world, with a population of over 14 million residents as of 2023. The Greater Tokyo Area, which includes Tokyo and parts of six ...</v>
    <v>30</v>
    <v>28</v>
    <v>32</v>
    <v>33</v>
    <v>Tokyo</v>
    <v>34</v>
    <v>35</v>
    <v>Tokyo</v>
    <v>mdp/vdpid/7932754762162765825</v>
  </rv>
  <rv s="1">
    <fb>18.22</fb>
    <v>8</v>
  </rv>
  <rv s="2">
    <v>2</v>
    <v>6</v>
    <v>26</v>
    <v>7</v>
    <v>0</v>
    <v>Image of Shinjuku</v>
  </rv>
  <rv s="1">
    <fb>35.6938888888889</fb>
    <v>9</v>
  </rv>
  <rv s="0">
    <v>805306368</v>
    <v>Kenichi Yoshizumi (Mayor)</v>
    <v>22735901-d133-e0da-2ac3-2999a731e11c</v>
    <v>en-GB</v>
    <v>Generic</v>
  </rv>
  <rv s="3">
    <v>3</v>
  </rv>
  <rv s="4">
    <v>https://www.bing.com/search?q=shinjuku&amp;form=skydnc</v>
    <v>Learn more on Bing</v>
  </rv>
  <rv s="1">
    <fb>139.70341666666701</fb>
    <v>9</v>
  </rv>
  <rv s="1">
    <fb>346115</fb>
    <v>8</v>
  </rv>
  <rv s="14">
    <v>#VALUE!</v>
    <v>en-GB</v>
    <v>5632a22f-8419-6fb3-4f39-59c7c6326f8c</v>
    <v>536870912</v>
    <v>1</v>
    <v>27</v>
    <v>28</v>
    <v>Shinjuku</v>
    <v>4</v>
    <v>5</v>
    <v>Map</v>
    <v>6</v>
    <v>29</v>
    <v>26</v>
    <v>37</v>
    <v>29</v>
    <v>Shinjuku, officially called Shinjuku City, is a special ward in the Tokyo Metropolis in Japan. It is a major commercial and administrative center, housing the northern half of the busiest railway station in the world and the Tokyo Metropolitan ...</v>
    <v>38</v>
    <v>39</v>
    <v>41</v>
    <v>42</v>
    <v>43</v>
    <v>Shinjuku</v>
    <v>44</v>
    <v>35</v>
    <v>Shinjuku</v>
    <v>mdp/vdpid/7932749859709255681</v>
  </rv>
  <rv s="1">
    <fb>0.122640991880623</fb>
    <v>49</v>
  </rv>
  <rv s="1">
    <fb>377972.28</fb>
    <v>8</v>
  </rv>
  <rv s="1">
    <fb>261000</fb>
    <v>8</v>
  </rv>
  <rv s="1">
    <fb>7.4</fb>
    <v>50</v>
  </rv>
  <rv s="1">
    <fb>81</fb>
    <v>51</v>
  </rv>
  <rv s="1">
    <fb>1135886.253</fb>
    <v>8</v>
  </rv>
  <rv s="1">
    <fb>105.482172148839</fb>
    <v>52</v>
  </rv>
  <rv s="1">
    <fb>4.7697368421052103E-3</fb>
    <v>49</v>
  </rv>
  <rv s="1">
    <fb>7819.7146359093604</fb>
    <v>8</v>
  </rv>
  <rv s="1">
    <fb>1.42</fb>
    <v>50</v>
  </rv>
  <rv s="1">
    <fb>0.68456222269653788</fb>
    <v>49</v>
  </rv>
  <rv s="1">
    <fb>93.026455107462894</fb>
    <v>53</v>
  </rv>
  <rv s="1">
    <fb>1.06</fb>
    <v>54</v>
  </rv>
  <rv s="1">
    <fb>5081769542379.7695</fb>
    <v>55</v>
  </rv>
  <rv s="1">
    <fb>0.98799942016601605</fb>
    <v>49</v>
  </rv>
  <rv s="1">
    <fb>0.63237579345703099</fb>
    <v>49</v>
  </rv>
  <rv s="2">
    <v>3</v>
    <v>6</v>
    <v>32</v>
    <v>7</v>
    <v>0</v>
    <v>Image of Japan</v>
  </rv>
  <rv s="1">
    <fb>1.8</fb>
    <v>53</v>
  </rv>
  <rv s="0">
    <v>805306368</v>
    <v>Fumio Kishida (Prime minister)</v>
    <v>4c39adbe-f9a5-4343-12a6-6f72b644c5f9</v>
    <v>en-GB</v>
    <v>Generic</v>
  </rv>
  <rv s="3">
    <v>4</v>
  </rv>
  <rv s="4">
    <v>https://www.bing.com/search?q=japan&amp;form=skydnc</v>
    <v>Learn more on Bing</v>
  </rv>
  <rv s="1">
    <fb>84.210975609756105</fb>
    <v>53</v>
  </rv>
  <rv s="1">
    <fb>6191073290000</fb>
    <v>55</v>
  </rv>
  <rv s="1">
    <fb>5</fb>
    <v>53</v>
  </rv>
  <rv s="1">
    <fb>6.77</fb>
    <v>54</v>
  </rv>
  <rv s="3">
    <v>5</v>
  </rv>
  <rv s="1">
    <fb>0.13097521000000001</fb>
    <v>49</v>
  </rv>
  <rv s="1">
    <fb>2.4115000000000002</fb>
    <v>50</v>
  </rv>
  <rv s="1">
    <fb>125681593</fb>
    <v>8</v>
  </rv>
  <rv s="1">
    <fb>0.217</fb>
    <v>49</v>
  </rv>
  <rv s="1">
    <fb>0.26400000000000001</fb>
    <v>49</v>
  </rv>
  <rv s="1">
    <fb>0.41100000000000003</fb>
    <v>49</v>
  </rv>
  <rv s="1">
    <fb>2.8999999999999998E-2</fb>
    <v>49</v>
  </rv>
  <rv s="1">
    <fb>7.6999999999999999E-2</fb>
    <v>49</v>
  </rv>
  <rv s="1">
    <fb>0.128</fb>
    <v>49</v>
  </rv>
  <rv s="1">
    <fb>0.16600000000000001</fb>
    <v>49</v>
  </rv>
  <rv s="1">
    <fb>0.61726001739502001</fb>
    <v>49</v>
  </rv>
  <rv s="0">
    <v>536870912</v>
    <v>Aichi Prefecture</v>
    <v>404b15c4-d9ae-5896-6d50-b1481f5dd5cd</v>
    <v>en-GB</v>
    <v>Map</v>
  </rv>
  <rv s="0">
    <v>536870912</v>
    <v>Akita Prefecture</v>
    <v>23901f9e-0010-b10e-217f-76889688c150</v>
    <v>en-GB</v>
    <v>Map</v>
  </rv>
  <rv s="0">
    <v>536870912</v>
    <v>Aomori Prefecture</v>
    <v>bdd4a43f-5a1f-1483-b74b-1c2e2d564a31</v>
    <v>en-GB</v>
    <v>Map</v>
  </rv>
  <rv s="0">
    <v>536870912</v>
    <v>Chiba Prefecture</v>
    <v>0d6c59a9-daa8-57c7-3846-568b398d3c41</v>
    <v>en-GB</v>
    <v>Map</v>
  </rv>
  <rv s="0">
    <v>536870912</v>
    <v>Fukui Prefecture</v>
    <v>e859104b-0d73-b8bf-c4f4-56888a2281cd</v>
    <v>en-GB</v>
    <v>Map</v>
  </rv>
  <rv s="0">
    <v>536870912</v>
    <v>Fukushima Prefecture</v>
    <v>73791ec1-3b90-e21b-3cc7-0e8444934877</v>
    <v>en-GB</v>
    <v>Map</v>
  </rv>
  <rv s="0">
    <v>536870912</v>
    <v>Gunma Prefecture</v>
    <v>b64077a0-378d-c23f-b45c-2b3a03cba119</v>
    <v>en-GB</v>
    <v>Map</v>
  </rv>
  <rv s="0">
    <v>536870912</v>
    <v>Ibaraki Prefecture</v>
    <v>d16517c8-96b5-094f-f4ce-4aa391d6c7a2</v>
    <v>en-GB</v>
    <v>Map</v>
  </rv>
  <rv s="0">
    <v>536870912</v>
    <v>Iwate Prefecture</v>
    <v>02eea5a7-6ae7-8bf6-a17a-c242b4162121</v>
    <v>en-GB</v>
    <v>Map</v>
  </rv>
  <rv s="0">
    <v>536870912</v>
    <v>Miyagi Prefecture</v>
    <v>2df5e06d-7fb5-6da7-5d3b-29b4ff80395e</v>
    <v>en-GB</v>
    <v>Map</v>
  </rv>
  <rv s="0">
    <v>536870912</v>
    <v>Saitama Prefecture</v>
    <v>03a81bc6-6fd0-fac9-0958-cd81fcf07a35</v>
    <v>en-GB</v>
    <v>Map</v>
  </rv>
  <rv s="0">
    <v>536870912</v>
    <v>Tochigi Prefecture</v>
    <v>faae3362-0727-4ec5-6d01-3048e7e1526c</v>
    <v>en-GB</v>
    <v>Map</v>
  </rv>
  <rv s="0">
    <v>536870912</v>
    <v>Kanagawa Prefecture</v>
    <v>d5976989-847c-bcca-3cb3-11bfacc55c5d</v>
    <v>en-GB</v>
    <v>Map</v>
  </rv>
  <rv s="0">
    <v>536870912</v>
    <v>Niigata Prefecture</v>
    <v>d88c2b16-14cc-3861-9ddc-31ebd94b17d9</v>
    <v>en-GB</v>
    <v>Map</v>
  </rv>
  <rv s="0">
    <v>536870912</v>
    <v>Toyama Prefecture</v>
    <v>3fd9a341-4706-cc8a-3953-779219c2cc10</v>
    <v>en-GB</v>
    <v>Map</v>
  </rv>
  <rv s="0">
    <v>536870912</v>
    <v>Ishikawa Prefecture</v>
    <v>db2b14c2-e9db-32f7-5d44-025637689af0</v>
    <v>en-GB</v>
    <v>Map</v>
  </rv>
  <rv s="0">
    <v>536870912</v>
    <v>Yamagata Prefecture</v>
    <v>74d18529-a623-a2f9-9e38-40891e57c7d8</v>
    <v>en-GB</v>
    <v>Map</v>
  </rv>
  <rv s="0">
    <v>536870912</v>
    <v>Yamanashi Prefecture</v>
    <v>3e9e0d88-33e9-a04d-7fd7-a1679da279b5</v>
    <v>en-GB</v>
    <v>Map</v>
  </rv>
  <rv s="0">
    <v>536870912</v>
    <v>Nagano Prefecture</v>
    <v>7afcd7d0-3729-6e2f-d60f-ace5cc191bd0</v>
    <v>en-GB</v>
    <v>Map</v>
  </rv>
  <rv s="0">
    <v>536870912</v>
    <v>Gifu Prefecture</v>
    <v>2c82ed6b-33c4-4355-bd09-71939ba5ff4a</v>
    <v>en-GB</v>
    <v>Map</v>
  </rv>
  <rv s="0">
    <v>536870912</v>
    <v>Shizuoka Prefecture</v>
    <v>ca8ec756-8a3c-20a2-7e11-d24e284b7258</v>
    <v>en-GB</v>
    <v>Map</v>
  </rv>
  <rv s="0">
    <v>536870912</v>
    <v>Mie Prefecture</v>
    <v>36b5c190-9782-f717-071c-66ee3f0eab90</v>
    <v>en-GB</v>
    <v>Map</v>
  </rv>
  <rv s="0">
    <v>536870912</v>
    <v>Shiga Prefecture</v>
    <v>a778bb7c-b03b-d571-1839-962c4dea2bb2</v>
    <v>en-GB</v>
    <v>Map</v>
  </rv>
  <rv s="0">
    <v>536870912</v>
    <v>Kyoto Prefecture</v>
    <v>699d1960-1267-7c97-6c62-e139537430a0</v>
    <v>en-GB</v>
    <v>Map</v>
  </rv>
  <rv s="0">
    <v>536870912</v>
    <v>Osaka Prefecture</v>
    <v>a583e9fe-2d16-b004-281e-4c6841471145</v>
    <v>en-GB</v>
    <v>Map</v>
  </rv>
  <rv s="0">
    <v>536870912</v>
    <v>Hyogo Prefecture</v>
    <v>018712db-aec7-3894-1042-cbf5df14fac5</v>
    <v>en-GB</v>
    <v>Map</v>
  </rv>
  <rv s="0">
    <v>536870912</v>
    <v>Nara Prefecture</v>
    <v>99c4ba8c-9fb8-efe8-6368-0eb648372fb2</v>
    <v>en-GB</v>
    <v>Map</v>
  </rv>
  <rv s="0">
    <v>536870912</v>
    <v>Wakayama Prefecture</v>
    <v>fa064941-15ba-eb91-63a1-7e13f0aaa879</v>
    <v>en-GB</v>
    <v>Map</v>
  </rv>
  <rv s="0">
    <v>536870912</v>
    <v>Tottori Prefecture</v>
    <v>5bfbddb8-df0b-1d9c-3772-363d9be5878a</v>
    <v>en-GB</v>
    <v>Map</v>
  </rv>
  <rv s="0">
    <v>536870912</v>
    <v>Shimane Prefecture</v>
    <v>580cd2e8-a550-7297-21b8-252fe27c1650</v>
    <v>en-GB</v>
    <v>Map</v>
  </rv>
  <rv s="0">
    <v>536870912</v>
    <v>Okayama Prefecture</v>
    <v>e9792cdf-f004-a2bf-db55-28eabec2a7c0</v>
    <v>en-GB</v>
    <v>Map</v>
  </rv>
  <rv s="0">
    <v>536870912</v>
    <v>Hiroshima Prefecture</v>
    <v>75de6a1b-763c-40ed-8e98-60dc318775fc</v>
    <v>en-GB</v>
    <v>Map</v>
  </rv>
  <rv s="0">
    <v>536870912</v>
    <v>Yamaguchi Prefecture</v>
    <v>8a70f93f-b3cb-6430-8962-9b62c21575f3</v>
    <v>en-GB</v>
    <v>Map</v>
  </rv>
  <rv s="0">
    <v>536870912</v>
    <v>Tokushima Prefecture</v>
    <v>90ca77f2-2c01-cf7e-fb1e-58a68f9fc0bf</v>
    <v>en-GB</v>
    <v>Map</v>
  </rv>
  <rv s="0">
    <v>536870912</v>
    <v>Kagawa Prefecture</v>
    <v>bdd9ba22-f775-2984-6115-5438af268070</v>
    <v>en-GB</v>
    <v>Map</v>
  </rv>
  <rv s="0">
    <v>536870912</v>
    <v>Ehime Prefecture</v>
    <v>0e0b1bbf-5926-d5dc-0e10-24f8c566ca8c</v>
    <v>en-GB</v>
    <v>Map</v>
  </rv>
  <rv s="0">
    <v>536870912</v>
    <v>Kōchi Prefecture</v>
    <v>3fcb8073-d695-79de-cd11-91dc78fb0481</v>
    <v>en-GB</v>
    <v>Map</v>
  </rv>
  <rv s="0">
    <v>536870912</v>
    <v>Fukuoka Prefecture</v>
    <v>a58bcb0e-97b3-0ac9-f0c0-e119441e5cba</v>
    <v>en-GB</v>
    <v>Map</v>
  </rv>
  <rv s="0">
    <v>536870912</v>
    <v>Nagasaki Prefecture</v>
    <v>8caf62a2-006c-dde2-9c4d-e19d90ff2f0e</v>
    <v>en-GB</v>
    <v>Map</v>
  </rv>
  <rv s="0">
    <v>536870912</v>
    <v>Kumamoto Prefecture</v>
    <v>52bcf337-792b-3880-8875-847fe25699df</v>
    <v>en-GB</v>
    <v>Map</v>
  </rv>
  <rv s="0">
    <v>536870912</v>
    <v>Oita Prefecture</v>
    <v>c81f03fa-05e5-d708-3db6-3b6d5ed92f67</v>
    <v>en-GB</v>
    <v>Map</v>
  </rv>
  <rv s="0">
    <v>536870912</v>
    <v>Miyazaki Prefecture</v>
    <v>3bb91686-f345-53cf-6fb8-97d98890dc7d</v>
    <v>en-GB</v>
    <v>Map</v>
  </rv>
  <rv s="0">
    <v>536870912</v>
    <v>Kagoshima Prefecture</v>
    <v>c3e1f2d9-0225-9e77-d77d-952bbf72ceb7</v>
    <v>en-GB</v>
    <v>Map</v>
  </rv>
  <rv s="0">
    <v>536870912</v>
    <v>Okinawa Prefecture</v>
    <v>e26094bf-30f4-9d5e-ed21-f166be1cfad3</v>
    <v>en-GB</v>
    <v>Map</v>
  </rv>
  <rv s="0">
    <v>536870912</v>
    <v>Saga Prefecture</v>
    <v>171c9320-6b1a-2ebc-2002-85b3d707f979</v>
    <v>en-GB</v>
    <v>Map</v>
  </rv>
  <rv s="3">
    <v>6</v>
  </rv>
  <rv s="1">
    <fb>0.11905933830538</fb>
    <v>49</v>
  </rv>
  <rv s="1">
    <fb>0.46700000000000003</fb>
    <v>49</v>
  </rv>
  <rv s="1">
    <fb>2.2909998893737803E-2</fb>
    <v>56</v>
  </rv>
  <rv s="1">
    <fb>115782416</fb>
    <v>8</v>
  </rv>
  <rv s="15">
    <v>#VALUE!</v>
    <v>en-GB</v>
    <v>130d0438-fafb-cd2d-1a9e-1dd9c5aa87a9</v>
    <v>536870912</v>
    <v>1</v>
    <v>46</v>
    <v>47</v>
    <v>Japan</v>
    <v>4</v>
    <v>5</v>
    <v>Map</v>
    <v>6</v>
    <v>48</v>
    <v>JP</v>
    <v>46</v>
    <v>47</v>
    <v>48</v>
    <v>49</v>
    <v>50</v>
    <v>26</v>
    <v>51</v>
    <v>52</v>
    <v>53</v>
    <v>JPY</v>
    <v>Japan is an island country in East Asia. It is in the northwest Pacific Ocean and is bordered on the west by the Sea of Japan, extending from the Sea of Okhotsk in the north toward the East China Sea, Philippine Sea, and Taiwan in the south. ...</v>
    <v>54</v>
    <v>55</v>
    <v>56</v>
    <v>57</v>
    <v>58</v>
    <v>59</v>
    <v>60</v>
    <v>61</v>
    <v>62</v>
    <v>63</v>
    <v>26</v>
    <v>65</v>
    <v>66</v>
    <v>67</v>
    <v>68</v>
    <v>69</v>
    <v>70</v>
    <v>Japan</v>
    <v>Kimigayo</v>
    <v>71</v>
    <v>日本国</v>
    <v>72</v>
    <v>73</v>
    <v>74</v>
    <v>75</v>
    <v>76</v>
    <v>77</v>
    <v>78</v>
    <v>79</v>
    <v>80</v>
    <v>81</v>
    <v>82</v>
    <v>128</v>
    <v>129</v>
    <v>35</v>
    <v>130</v>
    <v>131</v>
    <v>Japan</v>
    <v>132</v>
    <v>mdp/vdpid/122</v>
  </rv>
  <rv s="6">
    <v>12</v>
    <v>Latitude</v>
    <v>0</v>
  </rv>
  <rv s="2">
    <v>1</v>
    <v>6</v>
    <v>21</v>
    <v>3</v>
    <v>0</v>
    <v>Image of Tokyo</v>
  </rv>
  <rv s="8">
    <v>en-GB</v>
    <v>ave8h7</v>
    <v>268435456</v>
    <v>1</v>
    <v>Powered by Refinitiv</v>
    <v>10</v>
    <v>JPY/USD</v>
    <v>11</v>
    <v>12</v>
    <v>Finance</v>
    <v>13</v>
    <v>7.1640000000000002E-3</v>
    <v>6.1710000000000003E-3</v>
    <v>1.2999999999999999E-5</v>
    <v>2.0040000000000001E-3</v>
    <v>USD</v>
    <v>JPY</v>
    <v>6.5050000000000004E-3</v>
    <v>Currency Pair</v>
    <v>45643.421550925923</v>
    <v>6.4790000000000004E-3</v>
    <v>Japanese Yen/US Dollar FX Cross Rate</v>
    <v>6.4879999999999998E-3</v>
    <v>6.4859999999999996E-3</v>
    <v>6.4989999999999996E-3</v>
    <v>JPYUSD</v>
    <v>JPY/USD</v>
  </rv>
  <rv s="9">
    <v>136</v>
  </rv>
  <rv s="8">
    <v>en-GB</v>
    <v>ave7f2</v>
    <v>268435456</v>
    <v>1</v>
    <v>Powered by Refinitiv</v>
    <v>10</v>
    <v>JPY/SEK</v>
    <v>11</v>
    <v>57</v>
    <v>Finance</v>
    <v>13</v>
    <v>7.5420000000000001E-2</v>
    <v>6.4750000000000002E-2</v>
    <v>5.22E-4</v>
    <v>7.4000000000000003E-3</v>
    <v>SEK</v>
    <v>JPY</v>
    <v>7.1160000000000001E-2</v>
    <v>Currency Pair</v>
    <v>45643.4215625</v>
    <v>7.0489999999999997E-2</v>
    <v>Japanese Yen/Swedish Krona FX Cross Rate</v>
    <v>7.0550000000000002E-2</v>
    <v>7.0540000000000005E-2</v>
    <v>7.1059999999999998E-2</v>
    <v>JPYSEK</v>
    <v>JPY/SEK</v>
  </rv>
  <rv s="9">
    <v>138</v>
  </rv>
  <rv s="4">
    <v>https://www.bing.com/financeapi/forcetrigger?t=axn6qh&amp;q=OTCM%3aKNAMF&amp;form=skydnc</v>
    <v>Learn more on Bing</v>
  </rv>
  <rv s="16">
    <v>en-GB</v>
    <v>axn6qh</v>
    <v>268435456</v>
    <v>1</v>
    <v>Powered by Refinitiv</v>
    <v>58</v>
    <v>KONAMI GROUP CORPORATION (OTCM:KNAMF)</v>
    <v>59</v>
    <v>60</v>
    <v>Finance</v>
    <v>61</v>
    <v>75.86</v>
    <v>59.87</v>
    <v>1.47</v>
    <v>0</v>
    <v>0</v>
    <v>USD</v>
    <v>Konami Group Corp is a Japan-based company mainly engaged in the entertainment business. The Company operates in four business segments. The Digital Entertainment segment is engaged in the production, manufacture and sale of mobile games, card games, home games and other digital contents. The Amusement segment is engaged in the production, manufacturing and sales of amusement machines. The Gaming and Systems segment is engaged in the production, manufacturing and sales of gaming machines and casino management systems, as well as the provision of related services. The Sports segment is engaged in the operation of fitness, swimming, gymnastics, dance, soccer, tennis, golf schools and other schools, as well as the sales of sports related products.</v>
    <v>4890</v>
    <v>OTC Markets</v>
    <v>OTCM</v>
    <v>OTCM</v>
    <v>39F, Harumi Island Triton Square Office Tower Y, 1-8-11, Harumi, CHUO-KU, TOKYO-TO, 104-6139 JP</v>
    <v>75.86</v>
    <v>Software &amp; IT Services</v>
    <v>Stock</v>
    <v>45517.006944444445</v>
    <v>140</v>
    <v>75.86</v>
    <v>1633748000000</v>
    <v>KONAMI GROUP CORPORATION</v>
    <v>KONAMI GROUP CORPORATION</v>
    <v>75.86</v>
    <v>21.486000000000001</v>
    <v>75.86</v>
    <v>75.86</v>
    <v>143500000</v>
    <v>KNAMF</v>
    <v>KONAMI GROUP CORPORATION (OTCM:KNAMF)</v>
    <v>2</v>
    <v>362070</v>
    <v>1973</v>
  </rv>
  <rv s="9">
    <v>141</v>
  </rv>
  <rv s="0">
    <v>536870912</v>
    <v>Dallas</v>
    <v>9ed1db6b-57c5-47b3-9d50-8fb2a9898b35</v>
    <v>en-GB</v>
    <v>Map</v>
  </rv>
  <rv s="0">
    <v>536870912</v>
    <v>Texas</v>
    <v>00a23ccd-3344-461c-8b9f-c2bb55be5815</v>
    <v>en-GB</v>
    <v>Map</v>
  </rv>
  <rv s="0">
    <v>536870912</v>
    <v>Denton County</v>
    <v>43d04676-4fda-0025-6915-c164e91a94b6</v>
    <v>en-GB</v>
    <v>Map</v>
  </rv>
  <rv s="1">
    <fb>996.57762500000001</fb>
    <v>8</v>
  </rv>
  <rv s="0">
    <v>536870912</v>
    <v>United States of America</v>
    <v>5232ed96-85b1-2edb-12c6-63e6c597a1de</v>
    <v>en-GB</v>
    <v>Map</v>
  </rv>
  <rv s="2">
    <v>4</v>
    <v>6</v>
    <v>62</v>
    <v>7</v>
    <v>0</v>
    <v>Image of Dallas</v>
  </rv>
  <rv s="1">
    <fb>32.779166666667003</fb>
    <v>9</v>
  </rv>
  <rv s="0">
    <v>805306368</v>
    <v>Eric Johnson (Mayor)</v>
    <v>3c485188-f503-86a2-2457-c5ca819fd997</v>
    <v>en-GB</v>
    <v>Generic</v>
  </rv>
  <rv s="3">
    <v>7</v>
  </rv>
  <rv s="4">
    <v>https://www.bing.com/search?q=dallas+texas&amp;form=skydnc</v>
    <v>Learn more on Bing</v>
  </rv>
  <rv s="1">
    <fb>-96.808888888889001</fb>
    <v>9</v>
  </rv>
  <rv s="1">
    <fb>1304379</fb>
    <v>8</v>
  </rv>
  <rv s="17">
    <v>#VALUE!</v>
    <v>en-GB</v>
    <v>9ed1db6b-57c5-47b3-9d50-8fb2a9898b35</v>
    <v>536870912</v>
    <v>1</v>
    <v>63</v>
    <v>64</v>
    <v>Dallas</v>
    <v>4</v>
    <v>5</v>
    <v>Map</v>
    <v>6</v>
    <v>25</v>
    <v>144</v>
    <v>145</v>
    <v>146</v>
    <v>147</v>
    <v>Dallas is a city in the U.S. state of Texas and the most populous city in the Dallas–Fort Worth metroplex, the most populous metropolitan area in Texas and the 4th most populous metropolitan area in the United States at 7.5 million people. It is ...</v>
    <v>148</v>
    <v>149</v>
    <v>151</v>
    <v>152</v>
    <v>153</v>
    <v>Dallas</v>
    <v>154</v>
    <v>Dallas</v>
    <v>mdp/vdpid/5107863898514522114</v>
  </rv>
  <rv s="1">
    <fb>0.44369067999501505</fb>
    <v>49</v>
  </rv>
  <rv s="1">
    <fb>9826675</fb>
    <v>8</v>
  </rv>
  <rv s="1">
    <fb>1359000</fb>
    <v>8</v>
  </rv>
  <rv s="1">
    <fb>11.6</fb>
    <v>50</v>
  </rv>
  <rv s="1">
    <fb>1</fb>
    <v>51</v>
  </rv>
  <rv s="0">
    <v>536870912</v>
    <v>Washington, D.C.</v>
    <v>216726d1-8987-06d3-5eff-823da05c3d3c</v>
    <v>en-GB</v>
    <v>Map</v>
  </rv>
  <rv s="1">
    <fb>5006302.0769999996</fb>
    <v>8</v>
  </rv>
  <rv s="1">
    <fb>117.244195476228</fb>
    <v>52</v>
  </rv>
  <rv s="1">
    <fb>7.4999999999999997E-2</fb>
    <v>49</v>
  </rv>
  <rv s="1">
    <fb>12993.961824772699</fb>
    <v>8</v>
  </rv>
  <rv s="1">
    <fb>1.7295</fb>
    <v>50</v>
  </rv>
  <rv s="1">
    <fb>0.339297856663409</fb>
    <v>49</v>
  </rv>
  <rv s="1">
    <fb>82.427828245269197</fb>
    <v>53</v>
  </rv>
  <rv s="1">
    <fb>0.71</fb>
    <v>54</v>
  </rv>
  <rv s="1">
    <fb>21427700000000</fb>
    <v>55</v>
  </rv>
  <rv s="1">
    <fb>1.0182144</fb>
    <v>49</v>
  </rv>
  <rv s="1">
    <fb>0.88167390000000001</fb>
    <v>49</v>
  </rv>
  <rv s="2">
    <v>5</v>
    <v>6</v>
    <v>66</v>
    <v>7</v>
    <v>0</v>
    <v>Image of United States</v>
  </rv>
  <rv s="1">
    <fb>5.6</fb>
    <v>53</v>
  </rv>
  <rv s="0">
    <v>536870912</v>
    <v>New York City</v>
    <v>60d5dc2b-c915-460b-b722-c9e3485499ca</v>
    <v>en-GB</v>
    <v>Map</v>
  </rv>
  <rv s="0">
    <v>805306368</v>
    <v>Joe Biden (President)</v>
    <v>cad484f9-be75-7a78-12dd-16233f823cd7</v>
    <v>en-GB</v>
    <v>Generic</v>
  </rv>
  <rv s="0">
    <v>805306368</v>
    <v>Kamala Harris (Vice president)</v>
    <v>ef5cf66f-32b7-7271-286a-8e8313eda5c5</v>
    <v>en-GB</v>
    <v>Generic</v>
  </rv>
  <rv s="0">
    <v>805306368</v>
    <v>Kevin McCarthy (Speaker)</v>
    <v>deb3b1b0-ed4c-206d-2f27-d94f7f833250</v>
    <v>en-GB</v>
    <v>Generic</v>
  </rv>
  <rv s="0">
    <v>805306368</v>
    <v>John Roberts (Chief justice)</v>
    <v>af7f7f4b-fd5b-867d-e108-4b6ecf118076</v>
    <v>en-GB</v>
    <v>Generic</v>
  </rv>
  <rv s="3">
    <v>8</v>
  </rv>
  <rv s="4">
    <v>https://www.bing.com/search?q=united+states&amp;form=skydnc</v>
    <v>Learn more on Bing</v>
  </rv>
  <rv s="1">
    <fb>78.539024390243895</fb>
    <v>53</v>
  </rv>
  <rv s="1">
    <fb>30436313050000</fb>
    <v>55</v>
  </rv>
  <rv s="1">
    <fb>19</fb>
    <v>53</v>
  </rv>
  <rv s="1">
    <fb>7.25</fb>
    <v>54</v>
  </rv>
  <rv s="3">
    <v>9</v>
  </rv>
  <rv s="1">
    <fb>0.1108387988</fb>
    <v>49</v>
  </rv>
  <rv s="1">
    <fb>2.6120000000000001</fb>
    <v>50</v>
  </rv>
  <rv s="1">
    <fb>331893745</fb>
    <v>8</v>
  </rv>
  <rv s="1">
    <fb>0.22600000000000001</fb>
    <v>49</v>
  </rv>
  <rv s="1">
    <fb>0.30499999999999999</fb>
    <v>49</v>
  </rv>
  <rv s="1">
    <fb>0.46799999999999997</fb>
    <v>49</v>
  </rv>
  <rv s="1">
    <fb>1.7000000000000001E-2</fb>
    <v>49</v>
  </rv>
  <rv s="1">
    <fb>5.0999999999999997E-2</fb>
    <v>49</v>
  </rv>
  <rv s="1">
    <fb>0.10300000000000001</fb>
    <v>49</v>
  </rv>
  <rv s="1">
    <fb>0.153</fb>
    <v>49</v>
  </rv>
  <rv s="1">
    <fb>0.62048999786377002</fb>
    <v>49</v>
  </rv>
  <rv s="0">
    <v>536870912</v>
    <v>Alabama</v>
    <v>376f8b06-52f6-4e72-a31d-311a3563e645</v>
    <v>en-GB</v>
    <v>Map</v>
  </rv>
  <rv s="0">
    <v>536870912</v>
    <v>Arkansas</v>
    <v>b939db72-08f2-4ea6-a16a-a53bf32e6612</v>
    <v>en-GB</v>
    <v>Map</v>
  </rv>
  <rv s="0">
    <v>536870912</v>
    <v>California</v>
    <v>3009d91d-d582-4c34-85ba-772ba09e5be1</v>
    <v>en-GB</v>
    <v>Map</v>
  </rv>
  <rv s="0">
    <v>536870912</v>
    <v>Colorado</v>
    <v>a070c5c2-b22d-41d8-b869-f20e583c4f80</v>
    <v>en-GB</v>
    <v>Map</v>
  </rv>
  <rv s="0">
    <v>536870912</v>
    <v>Connecticut</v>
    <v>b3ca6523-435e-4a3b-8f78-1ad900a52cf8</v>
    <v>en-GB</v>
    <v>Map</v>
  </rv>
  <rv s="0">
    <v>536870912</v>
    <v>Florida</v>
    <v>5fece3f4-e8e8-4159-843e-f725a930ad50</v>
    <v>en-GB</v>
    <v>Map</v>
  </rv>
  <rv s="0">
    <v>536870912</v>
    <v>Georgia</v>
    <v>84604bc7-2c47-4f8d-8ea5-b6ac8c018a20</v>
    <v>en-GB</v>
    <v>Map</v>
  </rv>
  <rv s="0">
    <v>536870912</v>
    <v>Hawaii</v>
    <v>b6f01eaf-aecf-44f6-b64d-1f6e982365c3</v>
    <v>en-GB</v>
    <v>Map</v>
  </rv>
  <rv s="0">
    <v>536870912</v>
    <v>Idaho</v>
    <v>ecd30387-20fa-4523-9045-e2860154b5e9</v>
    <v>en-GB</v>
    <v>Map</v>
  </rv>
  <rv s="0">
    <v>536870912</v>
    <v>Illinois</v>
    <v>4131acb8-628a-4241-8920-ca79eab9dade</v>
    <v>en-GB</v>
    <v>Map</v>
  </rv>
  <rv s="0">
    <v>536870912</v>
    <v>Indiana</v>
    <v>109f7e5a-efbb-4953-b4b8-cb812ce1ff5d</v>
    <v>en-GB</v>
    <v>Map</v>
  </rv>
  <rv s="0">
    <v>536870912</v>
    <v>Iowa</v>
    <v>77850824-b07a-487a-af58-37f9949afc27</v>
    <v>en-GB</v>
    <v>Map</v>
  </rv>
  <rv s="0">
    <v>536870912</v>
    <v>Kansas</v>
    <v>6e527b71-bd3e-4bc1-b1c0-59d288b4fd5e</v>
    <v>en-GB</v>
    <v>Map</v>
  </rv>
  <rv s="0">
    <v>536870912</v>
    <v>Kentucky</v>
    <v>108dfd18-4626-481a-8dfa-18f64e6eac84</v>
    <v>en-GB</v>
    <v>Map</v>
  </rv>
  <rv s="0">
    <v>536870912</v>
    <v>Louisiana</v>
    <v>0ca1e87f-e2f6-43fb-8deb-d22bd09a9cae</v>
    <v>en-GB</v>
    <v>Map</v>
  </rv>
  <rv s="0">
    <v>536870912</v>
    <v>Maine</v>
    <v>d62dd683-9cf9-4db9-a497-d810d529592b</v>
    <v>en-GB</v>
    <v>Map</v>
  </rv>
  <rv s="0">
    <v>536870912</v>
    <v>Maryland</v>
    <v>4c472f4d-06a8-4d90-8bb8-da4d168c73fe</v>
    <v>en-GB</v>
    <v>Map</v>
  </rv>
  <rv s="0">
    <v>536870912</v>
    <v>Massachusetts</v>
    <v>845219d5-3650-4199-b926-964ca27c863c</v>
    <v>en-GB</v>
    <v>Map</v>
  </rv>
  <rv s="0">
    <v>536870912</v>
    <v>Michigan</v>
    <v>162411c2-b757-495d-aa81-93942fae2f7e</v>
    <v>en-GB</v>
    <v>Map</v>
  </rv>
  <rv s="0">
    <v>536870912</v>
    <v>Minnesota</v>
    <v>77f97f6f-7e93-46e5-b486-6198effe8dea</v>
    <v>en-GB</v>
    <v>Map</v>
  </rv>
  <rv s="0">
    <v>536870912</v>
    <v>Mississippi</v>
    <v>6af619ca-217d-49c0-9a86-153fc7fbcd78</v>
    <v>en-GB</v>
    <v>Map</v>
  </rv>
  <rv s="0">
    <v>536870912</v>
    <v>Missouri</v>
    <v>6185f8cb-44e1-4da6-9bf0-b75286aeb591</v>
    <v>en-GB</v>
    <v>Map</v>
  </rv>
  <rv s="0">
    <v>536870912</v>
    <v>Montana</v>
    <v>447d6cd5-53f6-4c8f-bf6c-9ff228415c3b</v>
    <v>en-GB</v>
    <v>Map</v>
  </rv>
  <rv s="0">
    <v>536870912</v>
    <v>Nebraska</v>
    <v>3e64ff5d-6b40-4dbe-91b1-0e554e892496</v>
    <v>en-GB</v>
    <v>Map</v>
  </rv>
  <rv s="0">
    <v>536870912</v>
    <v>Nevada</v>
    <v>c2157d7e-617e-4517-80f8-1b08113afc14</v>
    <v>en-GB</v>
    <v>Map</v>
  </rv>
  <rv s="0">
    <v>536870912</v>
    <v>New Hampshire</v>
    <v>9ca71997-cc97-46eb-8911-fac32f80b0b1</v>
    <v>en-GB</v>
    <v>Map</v>
  </rv>
  <rv s="0">
    <v>536870912</v>
    <v>New Jersey</v>
    <v>05277898-b62b-4878-8632-09d29756a2ff</v>
    <v>en-GB</v>
    <v>Map</v>
  </rv>
  <rv s="0">
    <v>536870912</v>
    <v>New Mexico</v>
    <v>a16d3636-4349-41c7-a77e-89e34b26a8ad</v>
    <v>en-GB</v>
    <v>Map</v>
  </rv>
  <rv s="0">
    <v>536870912</v>
    <v>New York</v>
    <v>caeb7b9a-f5d7-4686-8fb5-cf7628296b13</v>
    <v>en-GB</v>
    <v>Map</v>
  </rv>
  <rv s="0">
    <v>536870912</v>
    <v>North Carolina</v>
    <v>9e2bf053-dd80-4646-8f26-65075e7085c0</v>
    <v>en-GB</v>
    <v>Map</v>
  </rv>
  <rv s="0">
    <v>536870912</v>
    <v>North Dakota</v>
    <v>77fbc744-3efe-4aa9-9e8e-f8034f06b941</v>
    <v>en-GB</v>
    <v>Map</v>
  </rv>
  <rv s="0">
    <v>536870912</v>
    <v>Ohio</v>
    <v>6f3df7da-1ef6-48e3-b2b3-b5b5fce3e846</v>
    <v>en-GB</v>
    <v>Map</v>
  </rv>
  <rv s="0">
    <v>536870912</v>
    <v>Oklahoma</v>
    <v>cbcf556f-952a-4665-bb95-0500b27f9976</v>
    <v>en-GB</v>
    <v>Map</v>
  </rv>
  <rv s="0">
    <v>536870912</v>
    <v>Oregon</v>
    <v>cacd36fd-7c62-43e2-a632-64a2a1811933</v>
    <v>en-GB</v>
    <v>Map</v>
  </rv>
  <rv s="0">
    <v>536870912</v>
    <v>Pennsylvania</v>
    <v>6304580e-c803-4266-818a-971619176547</v>
    <v>en-GB</v>
    <v>Map</v>
  </rv>
  <rv s="0">
    <v>536870912</v>
    <v>Rhode Island</v>
    <v>65a08f52-b469-4f7c-8353-9b3c0b2a5752</v>
    <v>en-GB</v>
    <v>Map</v>
  </rv>
  <rv s="0">
    <v>536870912</v>
    <v>South Carolina</v>
    <v>810015e8-b10b-4232-9e2c-de87a67bd26e</v>
    <v>en-GB</v>
    <v>Map</v>
  </rv>
  <rv s="0">
    <v>536870912</v>
    <v>South Dakota</v>
    <v>9cee0b65-d357-479e-a066-31c634648f47</v>
    <v>en-GB</v>
    <v>Map</v>
  </rv>
  <rv s="0">
    <v>536870912</v>
    <v>Tennessee</v>
    <v>9bbc9c72-1bf1-4ef6-b66d-a6cdef70f4f3</v>
    <v>en-GB</v>
    <v>Map</v>
  </rv>
  <rv s="0">
    <v>536870912</v>
    <v>Utah</v>
    <v>c6705e44-d27f-4240-95a2-54e802e3b524</v>
    <v>en-GB</v>
    <v>Map</v>
  </rv>
  <rv s="0">
    <v>536870912</v>
    <v>Vermont</v>
    <v>221864cc-447e-4e78-847c-59e485d73bff</v>
    <v>en-GB</v>
    <v>Map</v>
  </rv>
  <rv s="0">
    <v>536870912</v>
    <v>Virginia</v>
    <v>7eee9976-e8a7-472c-ada1-007208abd678</v>
    <v>en-GB</v>
    <v>Map</v>
  </rv>
  <rv s="0">
    <v>536870912</v>
    <v>Washington</v>
    <v>982ad551-fd5d-45df-bd70-bf704dd576e4</v>
    <v>en-GB</v>
    <v>Map</v>
  </rv>
  <rv s="0">
    <v>536870912</v>
    <v>West Virginia</v>
    <v>8a47255a-fae3-4faa-aa32-c6f384cb6c1d</v>
    <v>en-GB</v>
    <v>Map</v>
  </rv>
  <rv s="0">
    <v>536870912</v>
    <v>Wisconsin</v>
    <v>cb4d2853-06f4-4467-8e7c-4e31cbb35cb2</v>
    <v>en-GB</v>
    <v>Map</v>
  </rv>
  <rv s="0">
    <v>536870912</v>
    <v>Wyoming</v>
    <v>bff03ad6-2b7f-400b-a76e-eb9fc4a93961</v>
    <v>en-GB</v>
    <v>Map</v>
  </rv>
  <rv s="0">
    <v>536870912</v>
    <v>American Samoa</v>
    <v>12d04d63-b9b5-855b-0821-b32474a729a4</v>
    <v>en-GB</v>
    <v>Map</v>
  </rv>
  <rv s="0">
    <v>536870912</v>
    <v>Guam</v>
    <v>f842c067-b461-3084-6a3b-6c6c7431fc9a</v>
    <v>en-GB</v>
    <v>Map</v>
  </rv>
  <rv s="0">
    <v>536870912</v>
    <v>Northern Mariana Islands</v>
    <v>f4475436-adda-9ff0-b5fe-6c3dff0e26be</v>
    <v>en-GB</v>
    <v>Map</v>
  </rv>
  <rv s="0">
    <v>536870912</v>
    <v>Puerto Rico</v>
    <v>72752f4d-11d3-5470-b64e-b9e012b0520f</v>
    <v>en-GB</v>
    <v>Map</v>
  </rv>
  <rv s="0">
    <v>536870912</v>
    <v>United States Virgin Islands</v>
    <v>38bd827b-bc00-140e-85be-46a96078429c</v>
    <v>en-GB</v>
    <v>Map</v>
  </rv>
  <rv s="0">
    <v>536870912</v>
    <v>Alaska</v>
    <v>31c4c7a1-54e7-4306-ac9b-f1b02e85bda5</v>
    <v>en-GB</v>
    <v>Map</v>
  </rv>
  <rv s="0">
    <v>536870912</v>
    <v>Arizona</v>
    <v>bf973f46-5962-4997-a7ba-a05f1aa2a9f9</v>
    <v>en-GB</v>
    <v>Map</v>
  </rv>
  <rv s="0">
    <v>536870912</v>
    <v>Delaware</v>
    <v>8ad617cc-3d7a-4b3c-a787-098de959ccc4</v>
    <v>en-GB</v>
    <v>Map</v>
  </rv>
  <rv s="3">
    <v>10</v>
  </rv>
  <rv s="1">
    <fb>9.5866513904898809E-2</fb>
    <v>49</v>
  </rv>
  <rv s="3">
    <v>11</v>
  </rv>
  <rv s="1">
    <fb>0.36599999999999999</fb>
    <v>49</v>
  </rv>
  <rv s="1">
    <fb>0.14699999999999999</fb>
    <v>56</v>
  </rv>
  <rv s="1">
    <fb>270663028</fb>
    <v>8</v>
  </rv>
  <rv s="15">
    <v>#VALUE!</v>
    <v>en-GB</v>
    <v>5232ed96-85b1-2edb-12c6-63e6c597a1de</v>
    <v>536870912</v>
    <v>1</v>
    <v>69</v>
    <v>47</v>
    <v>United States</v>
    <v>4</v>
    <v>5</v>
    <v>Map</v>
    <v>6</v>
    <v>70</v>
    <v>US</v>
    <v>156</v>
    <v>157</v>
    <v>158</v>
    <v>159</v>
    <v>160</v>
    <v>161</v>
    <v>162</v>
    <v>163</v>
    <v>164</v>
    <v>USD</v>
    <v>The United States of America, commonly known as the United States or America, is a country primarily located in North America. It is a federation of 50 states, a federal capital district, and 326 Indian reservations. Outside the union of states, ...</v>
    <v>165</v>
    <v>166</v>
    <v>167</v>
    <v>168</v>
    <v>169</v>
    <v>170</v>
    <v>171</v>
    <v>172</v>
    <v>173</v>
    <v>174</v>
    <v>175</v>
    <v>180</v>
    <v>181</v>
    <v>182</v>
    <v>183</v>
    <v>184</v>
    <v>185</v>
    <v>United States</v>
    <v>The Star-Spangled Banner</v>
    <v>186</v>
    <v>the United States of America</v>
    <v>187</v>
    <v>188</v>
    <v>189</v>
    <v>190</v>
    <v>191</v>
    <v>192</v>
    <v>193</v>
    <v>194</v>
    <v>195</v>
    <v>196</v>
    <v>197</v>
    <v>252</v>
    <v>253</v>
    <v>254</v>
    <v>255</v>
    <v>256</v>
    <v>United States</v>
    <v>257</v>
    <v>mdp/vdpid/244</v>
  </rv>
  <rv s="2">
    <v>4</v>
    <v>6</v>
    <v>62</v>
    <v>3</v>
    <v>0</v>
    <v>Image of Dallas</v>
  </rv>
  <rv s="8">
    <v>en-GB</v>
    <v>avyomw</v>
    <v>268435456</v>
    <v>1</v>
    <v>Powered by Refinitiv</v>
    <v>10</v>
    <v>USD/JPY</v>
    <v>11</v>
    <v>14</v>
    <v>Finance</v>
    <v>13</v>
    <v>161.99</v>
    <v>139.56</v>
    <v>-0.32</v>
    <v>-2.0760000000000002E-3</v>
    <v>JPY</v>
    <v>USD</v>
    <v>154.34</v>
    <v>Currency Pair</v>
    <v>45643.421550925923</v>
    <v>153.72</v>
    <v>US Dollar/Japanese Yen FX Spot Rate</v>
    <v>154.1</v>
    <v>154.15</v>
    <v>153.83000000000001</v>
    <v>USDJPY</v>
    <v>USD/JPY</v>
  </rv>
  <rv s="9">
    <v>260</v>
  </rv>
  <rv s="8">
    <v>en-GB</v>
    <v>avyt52</v>
    <v>268435456</v>
    <v>1</v>
    <v>Powered by Refinitiv</v>
    <v>10</v>
    <v>USD/SEK</v>
    <v>11</v>
    <v>57</v>
    <v>Finance</v>
    <v>13</v>
    <v>11.181100000000001</v>
    <v>9.9041999999999994</v>
    <v>5.8500000000000003E-2</v>
    <v>5.3800000000000002E-3</v>
    <v>SEK</v>
    <v>USD</v>
    <v>10.9419</v>
    <v>Currency Pair</v>
    <v>45643.4215625</v>
    <v>10.8712</v>
    <v>US Dollar/Swedish Krona FX Spot Rate</v>
    <v>10.877000000000001</v>
    <v>10.874499999999999</v>
    <v>10.933</v>
    <v>USDSEK</v>
    <v>USD/SEK</v>
  </rv>
  <rv s="9">
    <v>262</v>
  </rv>
  <rv s="4">
    <v>https://www.bing.com/financeapi/forcetrigger?t=a24p1h&amp;q=XNAS%3aTXN&amp;form=skydnc</v>
    <v>Learn more on Bing</v>
  </rv>
  <rv s="16">
    <v>en-GB</v>
    <v>a24p1h</v>
    <v>268435456</v>
    <v>1</v>
    <v>Powered by Refinitiv</v>
    <v>58</v>
    <v>TEXAS INSTRUMENTS INCORPORATED (XNAS:TXN)</v>
    <v>59</v>
    <v>71</v>
    <v>Finance</v>
    <v>72</v>
    <v>220.38499999999999</v>
    <v>155.46</v>
    <v>0.96160000000000001</v>
    <v>-2.13</v>
    <v>-1.1116999999999998E-2</v>
    <v>USD</v>
    <v>Texas Instruments Incorporated is a global semiconductor company. The Company designs, manufactures, tests, and sells analog and embedded processing chips for markets, such as industrial, automotive, personal electronics, communications equipment, and enterprise systems. The Company’s segments include Analog and Embedded Processing. The Analog segment includes product lines, such as Power and Signal Chain. Power includes products that help customers manage power in electronic systems. Signal Chain includes products that sense, condition, and measure real-world signals to allow information to be transferred or converted for further processing and control. The Embedded Processing segment includes microcontrollers, digital signal processors (DSPs) and applications processors. The Company also offers DLP products (primarily used to project high-definition images), calculators and certain custom semiconductors known as application-specific integrated circuits (ASICs).</v>
    <v>34000</v>
    <v>Nasdaq Stock Market</v>
    <v>XNAS</v>
    <v>XNAS</v>
    <v>12500 T I Blvd, DALLAS, TX, 75243-0592 US</v>
    <v>191.98</v>
    <v>Semiconductors &amp; Semiconductor Equipment</v>
    <v>Stock</v>
    <v>45643.041274478906</v>
    <v>264</v>
    <v>189.18</v>
    <v>172828557036</v>
    <v>TEXAS INSTRUMENTS INCORPORATED</v>
    <v>TEXAS INSTRUMENTS INCORPORATED</v>
    <v>191.86</v>
    <v>35.207299999999996</v>
    <v>191.59</v>
    <v>189.46</v>
    <v>912216600</v>
    <v>TXN</v>
    <v>TEXAS INSTRUMENTS INCORPORATED (XNAS:TXN)</v>
    <v>1673</v>
    <v>5978950</v>
    <v>1938</v>
  </rv>
  <rv s="9">
    <v>265</v>
  </rv>
</rvData>
</file>

<file path=xl/richData/rdrichvaluestructure.xml><?xml version="1.0" encoding="utf-8"?>
<rvStructures xmlns="http://schemas.microsoft.com/office/spreadsheetml/2017/richdata" count="18">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error">
    <k n="errorType" t="i"/>
    <k n="field" t="s"/>
    <k n="subType" t="i"/>
  </s>
  <s t="_error">
    <k n="errorType" t="i"/>
    <k n="subType" t="i"/>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8">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spbArrays>
  <spbData count="73">
    <spb s="0">
      <v xml:space="preserve">Wikipedia	</v>
      <v xml:space="preserve">CC BY-SA 3.0	</v>
      <v xml:space="preserve">https://en.wikipedia.org/wiki/Stockholm	</v>
      <v xml:space="preserve">https://creativecommons.org/licenses/by-sa/3.0	</v>
    </spb>
    <spb s="1">
      <v>0</v>
      <v>0</v>
      <v>0</v>
      <v>0</v>
      <v>0</v>
      <v>0</v>
      <v>0</v>
      <v>0</v>
      <v>0</v>
    </spb>
    <spb s="2">
      <v>0</v>
      <v>Name</v>
      <v>LearnMoreOnLink</v>
    </spb>
    <spb s="3">
      <v>0</v>
      <v>0</v>
      <v>0</v>
    </spb>
    <spb s="4">
      <v>3</v>
      <v>3</v>
      <v>3</v>
    </spb>
    <spb s="5">
      <v>1</v>
      <v>2</v>
    </spb>
    <spb s="6">
      <v>https://www.bing.com</v>
      <v>https://www.bing.com/th?id=Ga%5Cbing_yt.png&amp;w=100&amp;h=40&amp;c=0&amp;pid=0.1</v>
      <v>Powered by Bing</v>
    </spb>
    <spb s="7">
      <v>square km</v>
      <v>2022</v>
    </spb>
    <spb s="8">
      <v>3</v>
    </spb>
    <spb s="8">
      <v>4</v>
    </spb>
    <spb s="9">
      <v>1</v>
      <v>Name</v>
    </spb>
    <spb s="10">
      <v>3</v>
      <v>3</v>
    </spb>
    <spb s="11">
      <v>5</v>
      <v>5</v>
      <v>1</v>
      <v>5</v>
      <v>5</v>
      <v>5</v>
      <v>6</v>
      <v>5</v>
      <v>5</v>
      <v>5</v>
      <v>7</v>
      <v>8</v>
    </spb>
    <spb s="12">
      <v>GMT</v>
    </spb>
    <spb s="11">
      <v>9</v>
      <v>9</v>
      <v>1</v>
      <v>9</v>
      <v>9</v>
      <v>9</v>
      <v>6</v>
      <v>9</v>
      <v>9</v>
      <v>9</v>
      <v>7</v>
      <v>8</v>
    </spb>
    <spb s="2">
      <v>2</v>
      <v>Name</v>
      <v>LearnMoreOnLink</v>
    </spb>
    <spb s="13">
      <v>0</v>
      <v>0</v>
    </spb>
    <spb s="14">
      <v>16</v>
      <v>3</v>
      <v>3</v>
      <v>3</v>
      <v>3</v>
    </spb>
    <spb s="15">
      <v>10</v>
      <v>11</v>
      <v>11</v>
      <v>10</v>
      <v>1</v>
      <v>10</v>
      <v>2</v>
      <v>10</v>
      <v>10</v>
      <v>3</v>
      <v>3</v>
      <v>6</v>
      <v>12</v>
      <v>10</v>
      <v>3</v>
      <v>7</v>
      <v>13</v>
      <v>8</v>
      <v>3</v>
    </spb>
    <spb s="16">
      <v>Delayed 15 minutes</v>
      <v>from previous close</v>
      <v>from previous close</v>
      <v>Source: Nasdaq Nordic</v>
      <v>GMT</v>
    </spb>
    <spb s="17">
      <v>Powered by Refinitiv</v>
    </spb>
    <spb s="0">
      <v xml:space="preserve">Wikipedia	</v>
      <v xml:space="preserve">CC BY-SA 3.0	</v>
      <v xml:space="preserve">https://en.wikipedia.org/wiki/Tokyo	</v>
      <v xml:space="preserve">https://creativecommons.org/licenses/by-sa/3.0	</v>
    </spb>
    <spb s="0">
      <v xml:space="preserve">Wikipedia	</v>
      <v xml:space="preserve">CC-BY-SA	</v>
      <v xml:space="preserve">http://en.wikipedia.org/wiki/Tokyo	</v>
      <v xml:space="preserve">http://creativecommons.org/licenses/by-sa/3.0/	</v>
    </spb>
    <spb s="18">
      <v>21</v>
      <v>21</v>
      <v>21</v>
      <v>21</v>
      <v>21</v>
      <v>22</v>
      <v>21</v>
      <v>21</v>
      <v>21</v>
    </spb>
    <spb s="2">
      <v>3</v>
      <v>Name</v>
      <v>LearnMoreOnLink</v>
    </spb>
    <spb s="7">
      <v>square km</v>
      <v>2020</v>
    </spb>
    <spb s="0">
      <v xml:space="preserve">Wikipedia	</v>
      <v xml:space="preserve">CC BY-SA 3.0	</v>
      <v xml:space="preserve">https://en.wikipedia.org/wiki/Shinjuku	</v>
      <v xml:space="preserve">https://creativecommons.org/licenses/by-sa/3.0	</v>
    </spb>
    <spb s="1">
      <v>26</v>
      <v>26</v>
      <v>26</v>
      <v>26</v>
      <v>26</v>
      <v>26</v>
      <v>26</v>
      <v>26</v>
      <v>26</v>
    </spb>
    <spb s="2">
      <v>4</v>
      <v>Name</v>
      <v>LearnMoreOnLink</v>
    </spb>
    <spb s="7">
      <v>square km</v>
      <v>2021</v>
    </spb>
    <spb s="0">
      <v xml:space="preserve">data.worldbank.org	</v>
      <v xml:space="preserve">	</v>
      <v xml:space="preserve">http://data.worldbank.org/indicator/FP.CPI.TOTL	</v>
      <v xml:space="preserve">	</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9">
      <v>30</v>
      <v>31</v>
      <v>32</v>
      <v>32</v>
      <v>33</v>
      <v>32</v>
      <v>32</v>
      <v>32</v>
      <v>34</v>
      <v>32</v>
      <v>32</v>
      <v>34</v>
      <v>32</v>
      <v>32</v>
      <v>35</v>
      <v>36</v>
      <v>31</v>
      <v>35</v>
      <v>37</v>
      <v>32</v>
      <v>35</v>
      <v>38</v>
      <v>39</v>
      <v>40</v>
      <v>35</v>
      <v>35</v>
      <v>32</v>
      <v>35</v>
      <v>41</v>
      <v>42</v>
      <v>43</v>
      <v>44</v>
      <v>35</v>
      <v>31</v>
      <v>35</v>
      <v>35</v>
      <v>35</v>
      <v>35</v>
      <v>35</v>
      <v>35</v>
      <v>35</v>
      <v>35</v>
      <v>35</v>
      <v>35</v>
      <v>45</v>
    </spb>
    <spb s="2">
      <v>5</v>
      <v>Name</v>
      <v>LearnMoreOnLink</v>
    </spb>
    <spb s="20">
      <v>2019</v>
      <v>2019</v>
      <v>square km</v>
      <v>per thousand (2018)</v>
      <v>2021</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8">
      <v>14</v>
    </spb>
    <spb s="8">
      <v>8</v>
    </spb>
    <spb s="8">
      <v>13</v>
    </spb>
    <spb s="8">
      <v>11</v>
    </spb>
    <spb s="8">
      <v>15</v>
    </spb>
    <spb s="8">
      <v>5</v>
    </spb>
    <spb s="8">
      <v>16</v>
    </spb>
    <spb s="8">
      <v>6</v>
    </spb>
    <spb s="11">
      <v>10</v>
      <v>10</v>
      <v>1</v>
      <v>10</v>
      <v>10</v>
      <v>10</v>
      <v>6</v>
      <v>10</v>
      <v>10</v>
      <v>10</v>
      <v>7</v>
      <v>8</v>
    </spb>
    <spb s="2">
      <v>6</v>
      <v>Name</v>
      <v>LearnMoreOnLink</v>
    </spb>
    <spb s="21">
      <v>3</v>
      <v>3</v>
      <v>3</v>
      <v>3</v>
    </spb>
    <spb s="22">
      <v>5</v>
      <v>11</v>
      <v>11</v>
      <v>5</v>
      <v>1</v>
      <v>5</v>
      <v>5</v>
      <v>5</v>
      <v>3</v>
      <v>3</v>
      <v>6</v>
      <v>17</v>
      <v>5</v>
      <v>5</v>
      <v>5</v>
      <v>3</v>
      <v>7</v>
      <v>13</v>
      <v>8</v>
      <v>3</v>
    </spb>
    <spb s="23">
      <v>Delayed 15 minutes</v>
      <v>from previous close</v>
      <v>from previous close</v>
      <v>GMT</v>
    </spb>
    <spb s="0">
      <v xml:space="preserve">Wikipedia	</v>
      <v xml:space="preserve">CC BY-SA 3.0	</v>
      <v xml:space="preserve">https://en.wikipedia.org/wiki/Dallas	</v>
      <v xml:space="preserve">https://creativecommons.org/licenses/by-sa/3.0	</v>
    </spb>
    <spb s="24">
      <v>62</v>
      <v>62</v>
      <v>62</v>
      <v>62</v>
      <v>62</v>
      <v>62</v>
      <v>62</v>
      <v>62</v>
      <v>62</v>
      <v>62</v>
    </spb>
    <spb s="2">
      <v>7</v>
      <v>Name</v>
      <v>LearnMoreOnLink</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25">
      <v>30</v>
      <v>65</v>
      <v>66</v>
      <v>66</v>
      <v>33</v>
      <v>66</v>
      <v>66</v>
      <v>66</v>
      <v>67</v>
      <v>66</v>
      <v>66</v>
      <v>67</v>
      <v>66</v>
      <v>66</v>
      <v>36</v>
      <v>65</v>
      <v>68</v>
      <v>37</v>
      <v>66</v>
      <v>68</v>
      <v>38</v>
      <v>39</v>
      <v>40</v>
      <v>68</v>
      <v>66</v>
      <v>68</v>
      <v>41</v>
      <v>42</v>
      <v>43</v>
      <v>44</v>
      <v>68</v>
      <v>65</v>
      <v>68</v>
      <v>68</v>
      <v>68</v>
      <v>68</v>
      <v>68</v>
      <v>68</v>
      <v>68</v>
      <v>68</v>
      <v>68</v>
      <v>68</v>
      <v>45</v>
    </spb>
    <spb s="20">
      <v>2019</v>
      <v>2019</v>
      <v>square km</v>
      <v>per thousand (2018)</v>
      <v>2021</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22">
      <v>5</v>
      <v>11</v>
      <v>11</v>
      <v>5</v>
      <v>1</v>
      <v>5</v>
      <v>5</v>
      <v>5</v>
      <v>3</v>
      <v>3</v>
      <v>6</v>
      <v>16</v>
      <v>5</v>
      <v>5</v>
      <v>5</v>
      <v>3</v>
      <v>7</v>
      <v>13</v>
      <v>8</v>
      <v>3</v>
    </spb>
    <spb s="16">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26">
  <s>
    <k n="SourceText" t="s"/>
    <k n="LicenseText" t="s"/>
    <k n="SourceAddress" t="s"/>
    <k n="LicenseAddress" t="s"/>
  </s>
  <s>
    <k n="Area" t="spb"/>
    <k n="Name" t="spb"/>
    <k n="Latitude" t="spb"/>
    <k n="Longitude" t="spb"/>
    <k n="Population" t="spb"/>
    <k n="UniqueName" t="spb"/>
    <k n="Description" t="spb"/>
    <k n="Country/region" t="spb"/>
    <k n="Admin Division 1 (State/province/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Previous close" t="i"/>
    <k n="Volume average" t="i"/>
    <k n="Last trade time" t="i"/>
    <k n="Year incorporated" t="i"/>
    <k n="`%EntityServiceId" t="i"/>
    <k n="Shares outstanding" t="i"/>
  </s>
  <s>
    <k n="Price" t="s"/>
    <k n="Change" t="s"/>
    <k n="Change (%)" t="s"/>
    <k n="ExchangeID" t="s"/>
    <k n="Last trade time" t="s"/>
  </s>
  <s>
    <k n="name" t="s"/>
  </s>
  <s>
    <k n="Area" t="spb"/>
    <k n="Name" t="spb"/>
    <k n="Population" t="spb"/>
    <k n="UniqueName" t="spb"/>
    <k n="Description" t="spb"/>
    <k n="Abbreviation" t="spb"/>
    <k n="Largest city" t="spb"/>
    <k n="Country/region" t="spb"/>
    <k n="Capital/Major City"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Area" t="spb"/>
    <k n="Name" t="spb"/>
    <k n="Latitude" t="spb"/>
    <k n="Longitude" t="spb"/>
    <k n="Population" t="spb"/>
    <k n="UniqueName" t="spb"/>
    <k n="Description" t="spb"/>
    <k n="Country/region" t="spb"/>
    <k n="Admin Division 1 (State/province/other)" t="spb"/>
    <k n="Admin Division 2 (County/district/other)" t="spb"/>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3" formatCode="#,##0"/>
    </x:dxf>
    <x:dxf>
      <x:numFmt numFmtId="0" formatCode="General"/>
    </x:dxf>
    <x:dxf>
      <x:numFmt numFmtId="2" formatCode="0.00"/>
    </x:dxf>
    <x:dxf>
      <x:numFmt numFmtId="14" formatCode="0.00%"/>
    </x:dxf>
    <x:dxf>
      <x:numFmt numFmtId="4" formatCode="#,##0.00"/>
    </x:dxf>
    <x:dxf>
      <x:numFmt numFmtId="1" formatCode="0"/>
    </x:dxf>
    <x:dxf>
      <x:numFmt numFmtId="27" formatCode="yyyy/mm/dd\ hh:mm"/>
    </x:dxf>
  </dxfs>
  <richProperties>
    <rPr n="IsTitleField" t="b"/>
    <rPr n="IsHeroField" t="b"/>
    <rPr n="NumberFormat" t="s"/>
  </richProperties>
  <richStyles>
    <rSty>
      <rpv i="0">1</rpv>
    </rSty>
    <rSty>
      <rpv i="1">1</rpv>
    </rSty>
    <rSty dxfid="0">
      <rpv i="2">#,##0</rpv>
    </rSty>
    <rSty dxfid="1">
      <rpv i="2">0.0000</rpv>
    </rSty>
    <rSty dxfid="1">
      <rpv i="2">_([$$-en-US]* #,##0.00_);_([$$-en-US]* (#,##0.00);_([$$-en-US]* "-"??_);_(@_)</rpv>
    </rSty>
    <rSty dxfid="3"/>
    <rSty dxfid="6"/>
    <rSty dxfid="2">
      <rpv i="2">0.00</rpv>
    </rSty>
    <rSty dxfid="1">
      <rpv i="2">_-[$¥-ja-JP]* #,##0.00_-;-[$¥-ja-JP]* #,##0.00_-;_-[$¥-ja-JP]* "-"??_-;_-@_-</rpv>
    </rSty>
    <rSty dxfid="1">
      <rpv i="2">_-* #,##0.00 [$kr-en-SE]_-;-* #,##0.00 [$kr-en-SE]_-;_-* "-"?? [$kr-en-SE]_-;_-@_-</rpv>
    </rSty>
    <rSty dxfid="4">
      <rpv i="2">#,##0.00</rpv>
    </rSty>
    <rSty dxfid="1">
      <rpv i="2">_-* #,##0 [$kr-en-SE]_-;-* #,##0 [$kr-en-SE]_-;_-* "-" [$kr-en-SE]_-;_-@_-</rpv>
    </rSty>
    <rSty dxfid="5">
      <rpv i="2">0</rpv>
    </rSty>
    <rSty dxfid="3">
      <rpv i="2">0.0%</rpv>
    </rSty>
    <rSty dxfid="1">
      <rpv i="2">0.0</rpv>
    </rSty>
    <rSty dxfid="1">
      <rpv i="2">_([$$-en-US]* #,##0_);_([$$-en-US]* (#,##0);_([$$-en-US]* "-"_);_(@_)</rpv>
    </rSty>
    <rSty dxfid="1">
      <rpv i="2">_-[$¥-ja-JP]* #,##0_-;-[$¥-ja-JP]* #,##0_-;_-[$¥-ja-JP]*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3966D-1BFD-476D-B3C3-2E52D41A9D01}">
  <dimension ref="A1:P3"/>
  <sheetViews>
    <sheetView tabSelected="1" topLeftCell="G1" workbookViewId="0">
      <selection activeCell="I16" sqref="I16"/>
    </sheetView>
  </sheetViews>
  <sheetFormatPr defaultRowHeight="15" x14ac:dyDescent="0.25"/>
  <cols>
    <col min="2" max="2" width="19.7109375" bestFit="1" customWidth="1"/>
    <col min="4" max="4" width="14.7109375" bestFit="1" customWidth="1"/>
    <col min="5" max="5" width="7.5703125" bestFit="1" customWidth="1"/>
    <col min="6" max="6" width="9.85546875" bestFit="1" customWidth="1"/>
    <col min="7" max="7" width="28.28515625" customWidth="1"/>
    <col min="8" max="8" width="55.28515625" customWidth="1"/>
    <col min="9" max="9" width="10.7109375" bestFit="1" customWidth="1"/>
    <col min="10" max="10" width="6.85546875" bestFit="1" customWidth="1"/>
    <col min="11" max="11" width="10.7109375" bestFit="1" customWidth="1"/>
    <col min="13" max="13" width="47.5703125" bestFit="1" customWidth="1"/>
    <col min="14" max="14" width="41.5703125" bestFit="1" customWidth="1"/>
    <col min="15" max="15" width="18.42578125" bestFit="1" customWidth="1"/>
  </cols>
  <sheetData>
    <row r="1" spans="1:16" ht="62.25" customHeight="1" x14ac:dyDescent="0.25">
      <c r="A1" t="e" vm="1">
        <v>#VALUE!</v>
      </c>
      <c r="B1" t="e" cm="1" vm="2">
        <f t="array" ref="B1">_xlfn.ARRAYTOTEXT(_FV(A1,"Time zone(s)",TRUE))</f>
        <v>#VALUE!</v>
      </c>
      <c r="C1" cm="1" vm="3">
        <f t="array" aca="1" ref="C1" ca="1">_FV(A1,"Area")</f>
        <v>187.16</v>
      </c>
      <c r="D1" t="e" cm="1" vm="4">
        <f t="array" aca="1" ref="D1" ca="1">_FV(A1,"Country/region",TRUE)</f>
        <v>#VALUE!</v>
      </c>
      <c r="E1" cm="1" vm="5">
        <f t="array" aca="1" ref="E1" ca="1">_FV(A1,"Latitude")</f>
        <v>59.329444444444</v>
      </c>
      <c r="F1" cm="1" vm="6">
        <f t="array" aca="1" ref="F1" ca="1">_FV(A1,"Population")</f>
        <v>984748</v>
      </c>
      <c r="G1" t="e" cm="1" vm="7">
        <f t="array" aca="1" ref="G1" ca="1">_FV(A1,"Image")</f>
        <v>#VALUE!</v>
      </c>
      <c r="H1" s="1" t="str" cm="1">
        <f t="array" aca="1" ref="H1" ca="1">_FV(A1,"Description")</f>
        <v>Stockholm is the capital and most populous city of Sweden as well as the largest urban area in the Nordic countries. Approximately 1 million people live in the municipality, with 2.1 million in the urban area, and 2.4 million in the metropolitan ...</v>
      </c>
      <c r="I1" t="e" vm="8">
        <v>#VALUE!</v>
      </c>
      <c r="J1" s="3" cm="1">
        <f t="array" aca="1" ref="J1" ca="1">_FV(I1,"Change (%)",TRUE)</f>
        <v>-4.3569999999999998E-3</v>
      </c>
      <c r="K1" t="e" vm="9">
        <v>#VALUE!</v>
      </c>
      <c r="L1" s="3" cm="1">
        <f t="array" aca="1" ref="L1" ca="1">_FV(K1,"Change (%)",TRUE)</f>
        <v>-5.7820000000000007E-3</v>
      </c>
      <c r="M1" t="e" vm="10">
        <v>#VALUE!</v>
      </c>
      <c r="N1" t="str" cm="1">
        <f t="array" aca="1" ref="N1" ca="1">_FV(M1,"Industry")</f>
        <v>Machinery, Equipment &amp; Components</v>
      </c>
      <c r="O1" s="4" cm="1">
        <f t="array" aca="1" ref="O1" ca="1">_FV(M1,"Market cap",TRUE)</f>
        <v>559574400000</v>
      </c>
      <c r="P1" s="7" cm="1">
        <f t="array" aca="1" ref="P1" ca="1">_FV(M1,"Year incorporated",TRUE)</f>
        <v>1915</v>
      </c>
    </row>
    <row r="2" spans="1:16" ht="74.25" customHeight="1" x14ac:dyDescent="0.25">
      <c r="A2" t="e" vm="11">
        <v>#VALUE!</v>
      </c>
      <c r="B2" t="str" cm="1">
        <f t="array" aca="1" ref="B2" ca="1">_xlfn.ARRAYTOTEXT(_FV(A2,"Time zone(s)",TRUE))</f>
        <v>Japan Standard Time</v>
      </c>
      <c r="C2" cm="1" vm="12">
        <f t="array" aca="1" ref="C2" ca="1">_FV(A2,"Area")</f>
        <v>2194.0500000000002</v>
      </c>
      <c r="D2" t="e" cm="1" vm="13">
        <f t="array" aca="1" ref="D2" ca="1">_FV(A2,"Country/region",TRUE)</f>
        <v>#VALUE!</v>
      </c>
      <c r="E2" t="e" cm="1" vm="14">
        <f t="array" ref="E2">_FV(A2,"Latitude")</f>
        <v>#VALUE!</v>
      </c>
      <c r="F2" cm="1" vm="15">
        <f t="array" aca="1" ref="F2" ca="1">_FV(A2,"Population")</f>
        <v>14047594</v>
      </c>
      <c r="G2" t="e" cm="1" vm="16">
        <f t="array" aca="1" ref="G2" ca="1">_FV(A2,"Image")</f>
        <v>#VALUE!</v>
      </c>
      <c r="H2" s="1" t="str" cm="1">
        <f t="array" aca="1" ref="H2" ca="1">_FV(A2,"Description")</f>
        <v>Tokyo, officially the Tokyo Metropolis, is the capital city of Japan and one of the most populous cities in the world, with a population of over 14 million residents as of 2023. The Greater Tokyo Area, which includes Tokyo and parts of six ...</v>
      </c>
      <c r="I2" t="e" vm="17">
        <v>#VALUE!</v>
      </c>
      <c r="J2" s="3" cm="1">
        <f t="array" aca="1" ref="J2" ca="1">_FV(I2,"Change (%)",TRUE)</f>
        <v>2.0040000000000001E-3</v>
      </c>
      <c r="K2" t="e" vm="18">
        <v>#VALUE!</v>
      </c>
      <c r="L2" s="2" cm="1">
        <f t="array" aca="1" ref="L2" ca="1">_FV(K2,"Change (%)",TRUE)</f>
        <v>7.4000000000000003E-3</v>
      </c>
      <c r="M2" t="e" vm="19">
        <v>#VALUE!</v>
      </c>
      <c r="N2" t="str" cm="1">
        <f t="array" aca="1" ref="N2" ca="1">_FV(M2,"Industry")</f>
        <v>Software &amp; IT Services</v>
      </c>
      <c r="O2" s="5" cm="1">
        <f t="array" aca="1" ref="O2" ca="1">_FV(M2,"Market cap",TRUE)</f>
        <v>1633748000000</v>
      </c>
      <c r="P2" s="7" cm="1">
        <f t="array" aca="1" ref="P2" ca="1">_FV(M2,"Year incorporated",TRUE)</f>
        <v>1973</v>
      </c>
    </row>
    <row r="3" spans="1:16" ht="90.75" customHeight="1" x14ac:dyDescent="0.25">
      <c r="A3" t="e" vm="20">
        <v>#VALUE!</v>
      </c>
      <c r="B3" t="e" cm="1" vm="2">
        <f t="array" ref="B3">_xlfn.ARRAYTOTEXT(_FV(A3,"Time zone(s)",TRUE))</f>
        <v>#VALUE!</v>
      </c>
      <c r="C3" cm="1" vm="21">
        <f t="array" aca="1" ref="C3" ca="1">_FV(A3,"Area")</f>
        <v>996.57762500000001</v>
      </c>
      <c r="D3" t="e" cm="1" vm="22">
        <f t="array" aca="1" ref="D3" ca="1">_FV(A3,"Country/region",TRUE)</f>
        <v>#VALUE!</v>
      </c>
      <c r="E3" cm="1" vm="23">
        <f t="array" aca="1" ref="E3" ca="1">_FV(A3,"Latitude")</f>
        <v>32.779166666667003</v>
      </c>
      <c r="F3" cm="1" vm="24">
        <f t="array" aca="1" ref="F3" ca="1">_FV(A3,"Population")</f>
        <v>1304379</v>
      </c>
      <c r="G3" t="e" cm="1" vm="25">
        <f t="array" aca="1" ref="G3" ca="1">_FV(A3,"Image")</f>
        <v>#VALUE!</v>
      </c>
      <c r="H3" s="1" t="str" cm="1">
        <f t="array" aca="1" ref="H3" ca="1">_FV(A3,"Description")</f>
        <v>Dallas is a city in the U.S. state of Texas and the most populous city in the Dallas–Fort Worth metroplex, the most populous metropolitan area in Texas and the 4th most populous metropolitan area in the United States at 7.5 million people. It is ...</v>
      </c>
      <c r="I3" t="e" vm="26">
        <v>#VALUE!</v>
      </c>
      <c r="J3" s="3" cm="1">
        <f t="array" aca="1" ref="J3" ca="1">_FV(I3,"Change (%)",TRUE)</f>
        <v>-2.0760000000000002E-3</v>
      </c>
      <c r="K3" t="e" vm="27">
        <v>#VALUE!</v>
      </c>
      <c r="L3" s="3" cm="1">
        <f t="array" aca="1" ref="L3" ca="1">_FV(K3,"Change (%)",TRUE)</f>
        <v>5.3800000000000002E-3</v>
      </c>
      <c r="M3" t="e" vm="28">
        <v>#VALUE!</v>
      </c>
      <c r="N3" t="str" cm="1">
        <f t="array" aca="1" ref="N3" ca="1">_FV(M3,"Industry")</f>
        <v>Semiconductors &amp; Semiconductor Equipment</v>
      </c>
      <c r="O3" s="6" cm="1">
        <f t="array" aca="1" ref="O3" ca="1">_FV(M3,"Market cap",TRUE)</f>
        <v>172828557036</v>
      </c>
      <c r="P3" s="7" cm="1">
        <f t="array" aca="1" ref="P3" ca="1">_FV(M3,"Year incorporated",TRUE)</f>
        <v>1938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Parnéus</dc:creator>
  <cp:lastModifiedBy>Adrian Parnéus</cp:lastModifiedBy>
  <dcterms:created xsi:type="dcterms:W3CDTF">2024-12-17T09:52:16Z</dcterms:created>
  <dcterms:modified xsi:type="dcterms:W3CDTF">2024-12-17T10:08:04Z</dcterms:modified>
</cp:coreProperties>
</file>