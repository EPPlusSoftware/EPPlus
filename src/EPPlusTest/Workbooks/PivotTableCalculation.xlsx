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kod\EPPlusSoftware\EPPlus\src\EPPlusTest\Workbooks\"/>
    </mc:Choice>
  </mc:AlternateContent>
  <xr:revisionPtr revIDLastSave="0" documentId="13_ncr:1_{30A17925-1F70-4EC8-825B-C5797D069144}" xr6:coauthVersionLast="47" xr6:coauthVersionMax="47" xr10:uidLastSave="{00000000-0000-0000-0000-000000000000}"/>
  <bookViews>
    <workbookView xWindow="-120" yWindow="-120" windowWidth="77040" windowHeight="21120" activeTab="1" xr2:uid="{200B1F7E-8BFE-40B8-B944-8AFB90FBF3BA}"/>
  </bookViews>
  <sheets>
    <sheet name="Data" sheetId="1" r:id="rId1"/>
    <sheet name="PivotTables" sheetId="2" r:id="rId2"/>
    <sheet name="PivotTableMultSubtotals" sheetId="3" r:id="rId3"/>
  </sheet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1" i="2" l="1"/>
  <c r="A14" i="3"/>
  <c r="A13" i="3"/>
  <c r="A12" i="3"/>
  <c r="A11" i="3"/>
  <c r="A3" i="3"/>
  <c r="A4" i="3"/>
  <c r="A6" i="3"/>
  <c r="A2" i="3"/>
  <c r="AU1" i="3"/>
  <c r="A5" i="3"/>
</calcChain>
</file>

<file path=xl/sharedStrings.xml><?xml version="1.0" encoding="utf-8"?>
<sst xmlns="http://schemas.openxmlformats.org/spreadsheetml/2006/main" count="3941" uniqueCount="1368">
  <si>
    <t>Items</t>
  </si>
  <si>
    <t>InvoiceDate</t>
  </si>
  <si>
    <t>Norway</t>
  </si>
  <si>
    <t>South Africa</t>
  </si>
  <si>
    <t>cubilia.curae@outlook.org</t>
  </si>
  <si>
    <t>China</t>
  </si>
  <si>
    <t>Central Region</t>
  </si>
  <si>
    <t>Vietnam</t>
  </si>
  <si>
    <t>Jeju</t>
  </si>
  <si>
    <t>Ukraine</t>
  </si>
  <si>
    <t>Santa Catarina</t>
  </si>
  <si>
    <t>Free State</t>
  </si>
  <si>
    <t>Russian Federation</t>
  </si>
  <si>
    <t>Poland</t>
  </si>
  <si>
    <t>New Zealand</t>
  </si>
  <si>
    <t>Singapore</t>
  </si>
  <si>
    <t>Pakistan</t>
  </si>
  <si>
    <t>Germany</t>
  </si>
  <si>
    <t>Belgium</t>
  </si>
  <si>
    <t>United States</t>
  </si>
  <si>
    <t>Austria</t>
  </si>
  <si>
    <t>Punjab</t>
  </si>
  <si>
    <t>Indonesia</t>
  </si>
  <si>
    <t>Ireland</t>
  </si>
  <si>
    <t>HuÃ¡bÄ›i</t>
  </si>
  <si>
    <t>North Island</t>
  </si>
  <si>
    <t>Zeeland</t>
  </si>
  <si>
    <t>Mexico</t>
  </si>
  <si>
    <t>Spain</t>
  </si>
  <si>
    <t>Vinnytsia oblast</t>
  </si>
  <si>
    <t>France</t>
  </si>
  <si>
    <t>Antofagasta</t>
  </si>
  <si>
    <t>South Korea</t>
  </si>
  <si>
    <t>Sweden</t>
  </si>
  <si>
    <t>Costa Rica</t>
  </si>
  <si>
    <t>Cajamarca</t>
  </si>
  <si>
    <t>Australia</t>
  </si>
  <si>
    <t>Philippines</t>
  </si>
  <si>
    <t>Canada</t>
  </si>
  <si>
    <t>Friesland</t>
  </si>
  <si>
    <t>United Kingdom</t>
  </si>
  <si>
    <t>Ivano-Frankivsk oblast</t>
  </si>
  <si>
    <t>Nigeria</t>
  </si>
  <si>
    <t>West-Vlaanderen</t>
  </si>
  <si>
    <t>Colombia</t>
  </si>
  <si>
    <t>Galicia</t>
  </si>
  <si>
    <t>Euskadi</t>
  </si>
  <si>
    <t>Brazil</t>
  </si>
  <si>
    <t>Peru</t>
  </si>
  <si>
    <t>La Libertad</t>
  </si>
  <si>
    <t>DÅngbÄ›i</t>
  </si>
  <si>
    <t>Gangwon</t>
  </si>
  <si>
    <t>South Island</t>
  </si>
  <si>
    <t>Netherlands</t>
  </si>
  <si>
    <t>Leinster</t>
  </si>
  <si>
    <t>JunÃ­n</t>
  </si>
  <si>
    <t>South Chungcheong</t>
  </si>
  <si>
    <t>Azad Kashmir</t>
  </si>
  <si>
    <t>Rogaland</t>
  </si>
  <si>
    <t>Luik</t>
  </si>
  <si>
    <t>Minas Gerais</t>
  </si>
  <si>
    <t>India</t>
  </si>
  <si>
    <t>Bayern</t>
  </si>
  <si>
    <t>Lower Austria</t>
  </si>
  <si>
    <t>Turkey</t>
  </si>
  <si>
    <t>FATA</t>
  </si>
  <si>
    <t>Chile</t>
  </si>
  <si>
    <t>Piemonte</t>
  </si>
  <si>
    <t>Cartago</t>
  </si>
  <si>
    <t>North Gyeongsang</t>
  </si>
  <si>
    <t>Connacht</t>
  </si>
  <si>
    <t>Italy</t>
  </si>
  <si>
    <t>Rating</t>
  </si>
  <si>
    <t>Score</t>
  </si>
  <si>
    <t>Marsden Peterson</t>
  </si>
  <si>
    <t>1-371-927-3444</t>
  </si>
  <si>
    <t>erat.etiam@aol.org</t>
  </si>
  <si>
    <t>Brussels Hoofdstedelijk Gewest</t>
  </si>
  <si>
    <t>Craig Shaffer</t>
  </si>
  <si>
    <t>1-768-598-8326</t>
  </si>
  <si>
    <t>varius.et@google.org</t>
  </si>
  <si>
    <t>Ancash</t>
  </si>
  <si>
    <t>Christopher Holt</t>
  </si>
  <si>
    <t>(670) 567-7526</t>
  </si>
  <si>
    <t>feugiat@google.edu</t>
  </si>
  <si>
    <t>Rutland</t>
  </si>
  <si>
    <t>Rhiannon Vazquez</t>
  </si>
  <si>
    <t>(216) 814-3208</t>
  </si>
  <si>
    <t>Osun</t>
  </si>
  <si>
    <t>Brody Cunningham</t>
  </si>
  <si>
    <t>(416) 673-2316</t>
  </si>
  <si>
    <t>Sachsen-Anhalt</t>
  </si>
  <si>
    <t>Sasha Delgado</t>
  </si>
  <si>
    <t>(895) 705-7353</t>
  </si>
  <si>
    <t>odio.vel.est@aol.org</t>
  </si>
  <si>
    <t>Lacy Pitts</t>
  </si>
  <si>
    <t>(472) 673-2372</t>
  </si>
  <si>
    <t>tincidunt.pede@google.com</t>
  </si>
  <si>
    <t>Melilla</t>
  </si>
  <si>
    <t>Christine Morrison</t>
  </si>
  <si>
    <t>(130) 471-1838</t>
  </si>
  <si>
    <t>ut.dolor@icloud.org</t>
  </si>
  <si>
    <t>Orenburg Oblast</t>
  </si>
  <si>
    <t>Dennis Murray</t>
  </si>
  <si>
    <t>(833) 587-8365</t>
  </si>
  <si>
    <t>turpis.egestas.fusce@google.org</t>
  </si>
  <si>
    <t>San JosÃ©</t>
  </si>
  <si>
    <t>Brooke Buck</t>
  </si>
  <si>
    <t>(437) 839-8779</t>
  </si>
  <si>
    <t>etiam.bibendum@protonmail.net</t>
  </si>
  <si>
    <t>Drenthe</t>
  </si>
  <si>
    <t>Barclay Christian</t>
  </si>
  <si>
    <t>1-657-537-7712</t>
  </si>
  <si>
    <t>cursus@outlook.net</t>
  </si>
  <si>
    <t>23049-53356</t>
  </si>
  <si>
    <t>Gilgit Baltistan</t>
  </si>
  <si>
    <t>Drew Townsend</t>
  </si>
  <si>
    <t>1-343-577-2718</t>
  </si>
  <si>
    <t>quisque.porttitor@aol.com</t>
  </si>
  <si>
    <t>5837-0931</t>
  </si>
  <si>
    <t>Pskov Oblast</t>
  </si>
  <si>
    <t>Laith Campbell</t>
  </si>
  <si>
    <t>(652) 498-1353</t>
  </si>
  <si>
    <t>non.vestibulum.nec@yahoo.org</t>
  </si>
  <si>
    <t>Puglia</t>
  </si>
  <si>
    <t>Ifeoma Larson</t>
  </si>
  <si>
    <t>1-477-595-4571</t>
  </si>
  <si>
    <t>non.lobortis@yahoo.net</t>
  </si>
  <si>
    <t>Lazio</t>
  </si>
  <si>
    <t>Reuben Mooney</t>
  </si>
  <si>
    <t>1-713-571-1354</t>
  </si>
  <si>
    <t>neque@outlook.edu</t>
  </si>
  <si>
    <t>Salzburg</t>
  </si>
  <si>
    <t>Kim Osborne</t>
  </si>
  <si>
    <t>1-237-519-7528</t>
  </si>
  <si>
    <t>integer.aliquam.adipiscing@aol.ca</t>
  </si>
  <si>
    <t>V6J 4M2</t>
  </si>
  <si>
    <t>East Region</t>
  </si>
  <si>
    <t>Leilani Mayer</t>
  </si>
  <si>
    <t>1-783-284-3908</t>
  </si>
  <si>
    <t>et.nunc@hotmail.com</t>
  </si>
  <si>
    <t>58763-178</t>
  </si>
  <si>
    <t>Kevyn Kent</t>
  </si>
  <si>
    <t>(838) 144-5959</t>
  </si>
  <si>
    <t>nisi.magna@protonmail.com</t>
  </si>
  <si>
    <t>VÃ¤stra GÃ¶talands lÃ¤n</t>
  </si>
  <si>
    <t>Armand Wall</t>
  </si>
  <si>
    <t>(775) 260-9303</t>
  </si>
  <si>
    <t>per.conubia@icloud.ca</t>
  </si>
  <si>
    <t>25-48</t>
  </si>
  <si>
    <t>Tamekah Huff</t>
  </si>
  <si>
    <t>(223) 232-5914</t>
  </si>
  <si>
    <t>nam@yahoo.org</t>
  </si>
  <si>
    <t>8431-5431</t>
  </si>
  <si>
    <t>Queensland</t>
  </si>
  <si>
    <t>Sybil Andrews</t>
  </si>
  <si>
    <t>(884) 824-7658</t>
  </si>
  <si>
    <t>nisl.nulla.eu@protonmail.edu</t>
  </si>
  <si>
    <t>96-27</t>
  </si>
  <si>
    <t>Sicilia</t>
  </si>
  <si>
    <t>Lars Gilliam</t>
  </si>
  <si>
    <t>(859) 647-0647</t>
  </si>
  <si>
    <t>ut.molestie@protonmail.edu</t>
  </si>
  <si>
    <t>Guanacaste</t>
  </si>
  <si>
    <t>Grace Skinner</t>
  </si>
  <si>
    <t>1-578-412-9585</t>
  </si>
  <si>
    <t>at@hotmail.net</t>
  </si>
  <si>
    <t>Leicestershire</t>
  </si>
  <si>
    <t>Yuri Justice</t>
  </si>
  <si>
    <t>(256) 383-5251</t>
  </si>
  <si>
    <t>integer.in@aol.net</t>
  </si>
  <si>
    <t>Veronica Brewer</t>
  </si>
  <si>
    <t>(324) 514-8846</t>
  </si>
  <si>
    <t>Cody Velez</t>
  </si>
  <si>
    <t>(627) 283-7751</t>
  </si>
  <si>
    <t>conubia.nostra@icloud.org</t>
  </si>
  <si>
    <t>I0Q 5BQ</t>
  </si>
  <si>
    <t>Khyber Pakhtoonkhwa</t>
  </si>
  <si>
    <t>Jada Poole</t>
  </si>
  <si>
    <t>1-551-522-9467</t>
  </si>
  <si>
    <t>erat.neque@protonmail.org</t>
  </si>
  <si>
    <t>Imo</t>
  </si>
  <si>
    <t>Yuli Roman</t>
  </si>
  <si>
    <t>(245) 805-6774</t>
  </si>
  <si>
    <t>pellentesque.ultricies@yahoo.net</t>
  </si>
  <si>
    <t>71-138</t>
  </si>
  <si>
    <t>Chhattisgarh</t>
  </si>
  <si>
    <t>Caesar Schwartz</t>
  </si>
  <si>
    <t>1-257-718-5916</t>
  </si>
  <si>
    <t>feugiat.metus.sit@outlook.edu</t>
  </si>
  <si>
    <t>MN3Q 5FU</t>
  </si>
  <si>
    <t>Dalarnas lÃ¤n</t>
  </si>
  <si>
    <t>Maya Lowery</t>
  </si>
  <si>
    <t>1-818-884-4486</t>
  </si>
  <si>
    <t>nulla.eu.neque@outlook.edu</t>
  </si>
  <si>
    <t>Damon David</t>
  </si>
  <si>
    <t>(884) 359-1287</t>
  </si>
  <si>
    <t>non.bibendum@protonmail.edu</t>
  </si>
  <si>
    <t>Berlin</t>
  </si>
  <si>
    <t>Kerry Burt</t>
  </si>
  <si>
    <t>(351) 900-2836</t>
  </si>
  <si>
    <t>ullamcorper@aol.edu</t>
  </si>
  <si>
    <t>Stone Molina</t>
  </si>
  <si>
    <t>(774) 377-3783</t>
  </si>
  <si>
    <t>sollicitudin@aol.com</t>
  </si>
  <si>
    <t>Talon Roach</t>
  </si>
  <si>
    <t>1-242-725-2164</t>
  </si>
  <si>
    <t>eget.lacus@protonmail.org</t>
  </si>
  <si>
    <t>Mexico City</t>
  </si>
  <si>
    <t>Nasim King</t>
  </si>
  <si>
    <t>(243) 631-6412</t>
  </si>
  <si>
    <t>Manipur</t>
  </si>
  <si>
    <t>Oren Sweeney</t>
  </si>
  <si>
    <t>1-147-652-6697</t>
  </si>
  <si>
    <t>tempor.erat@google.org</t>
  </si>
  <si>
    <t>Western Australia</t>
  </si>
  <si>
    <t>Idola Bennett</t>
  </si>
  <si>
    <t>1-572-668-8823</t>
  </si>
  <si>
    <t>Kincardineshire</t>
  </si>
  <si>
    <t>Akeem Park</t>
  </si>
  <si>
    <t>(663) 633-7563</t>
  </si>
  <si>
    <t>New Brunswick</t>
  </si>
  <si>
    <t>Lois Lester</t>
  </si>
  <si>
    <t>1-944-687-2437</t>
  </si>
  <si>
    <t>a@aol.edu</t>
  </si>
  <si>
    <t>Banffshire</t>
  </si>
  <si>
    <t>Stella Webb</t>
  </si>
  <si>
    <t>(741) 929-4315</t>
  </si>
  <si>
    <t>Overijssel</t>
  </si>
  <si>
    <t>Rana Ratliff</t>
  </si>
  <si>
    <t>1-595-657-1841</t>
  </si>
  <si>
    <t>faucibus.leo@hotmail.com</t>
  </si>
  <si>
    <t>Clackmannanshire</t>
  </si>
  <si>
    <t>Holly Coffey</t>
  </si>
  <si>
    <t>(245) 351-1879</t>
  </si>
  <si>
    <t>nibh.phasellus.nulla@hotmail.edu</t>
  </si>
  <si>
    <t>Alberta</t>
  </si>
  <si>
    <t>Sydnee Hyde</t>
  </si>
  <si>
    <t>1-851-719-4453</t>
  </si>
  <si>
    <t>in.lorem@icloud.edu</t>
  </si>
  <si>
    <t>Jessica Barrett</t>
  </si>
  <si>
    <t>1-823-753-6671</t>
  </si>
  <si>
    <t>sem.vitae@hotmail.com</t>
  </si>
  <si>
    <t>Davao Region</t>
  </si>
  <si>
    <t>Xenos Floyd</t>
  </si>
  <si>
    <t>(770) 491-5572</t>
  </si>
  <si>
    <t>natoque.penatibus@google.net</t>
  </si>
  <si>
    <t>KB7S 9EG</t>
  </si>
  <si>
    <t>Neil Jones</t>
  </si>
  <si>
    <t>(959) 736-2362</t>
  </si>
  <si>
    <t>diam.eu.dolor@icloud.com</t>
  </si>
  <si>
    <t>ValparaÃ­so</t>
  </si>
  <si>
    <t>Ray Zimmerman</t>
  </si>
  <si>
    <t>1-114-147-6371</t>
  </si>
  <si>
    <t>non.arcu.vivamus@icloud.org</t>
  </si>
  <si>
    <t>Ulster</t>
  </si>
  <si>
    <t>Haviva Walsh</t>
  </si>
  <si>
    <t>1-516-424-7588</t>
  </si>
  <si>
    <t>ornare.lectus@google.org</t>
  </si>
  <si>
    <t>3536-3749</t>
  </si>
  <si>
    <t>Akwa Ibom</t>
  </si>
  <si>
    <t>Silas Talley</t>
  </si>
  <si>
    <t>(774) 432-4154</t>
  </si>
  <si>
    <t>tempus.non@google.com</t>
  </si>
  <si>
    <t>28146-21578</t>
  </si>
  <si>
    <t>North Region</t>
  </si>
  <si>
    <t>Candice Sampson</t>
  </si>
  <si>
    <t>1-881-874-2228</t>
  </si>
  <si>
    <t>tempor.augue@protonmail.net</t>
  </si>
  <si>
    <t>Utrecht</t>
  </si>
  <si>
    <t>Bell Hatfield</t>
  </si>
  <si>
    <t>1-419-379-8551</t>
  </si>
  <si>
    <t>lorem.ipsum@aol.edu</t>
  </si>
  <si>
    <t>Tambov Oblast</t>
  </si>
  <si>
    <t>Lila Blankenship</t>
  </si>
  <si>
    <t>1-641-213-5467</t>
  </si>
  <si>
    <t>sem.semper@google.com</t>
  </si>
  <si>
    <t>3843 CH</t>
  </si>
  <si>
    <t>Ora Wiggins</t>
  </si>
  <si>
    <t>(518) 763-5528</t>
  </si>
  <si>
    <t>risus@yahoo.ca</t>
  </si>
  <si>
    <t>PhÃº YÃªn</t>
  </si>
  <si>
    <t>Leslie Keller</t>
  </si>
  <si>
    <t>1-443-541-9142</t>
  </si>
  <si>
    <t>nunc.quis@aol.net</t>
  </si>
  <si>
    <t>V7E 2X9</t>
  </si>
  <si>
    <t>Alexandra Soto</t>
  </si>
  <si>
    <t>1-911-858-1723</t>
  </si>
  <si>
    <t>gravida.nunc@yahoo.org</t>
  </si>
  <si>
    <t>Mpumalanga</t>
  </si>
  <si>
    <t>Scarlett Jordan</t>
  </si>
  <si>
    <t>(444) 337-3232</t>
  </si>
  <si>
    <t>7396-2998</t>
  </si>
  <si>
    <t>Darryl Mcguire</t>
  </si>
  <si>
    <t>1-635-862-5685</t>
  </si>
  <si>
    <t>vel.pede.blandit@hotmail.com</t>
  </si>
  <si>
    <t>Uttarakhand</t>
  </si>
  <si>
    <t>Vincent Sims</t>
  </si>
  <si>
    <t>(785) 691-6538</t>
  </si>
  <si>
    <t>cubilia.curae@google.net</t>
  </si>
  <si>
    <t>Lucian Estrada</t>
  </si>
  <si>
    <t>1-853-324-1797</t>
  </si>
  <si>
    <t>erat@google.ca</t>
  </si>
  <si>
    <t>34703-82394</t>
  </si>
  <si>
    <t>Odysseus Mcpherson</t>
  </si>
  <si>
    <t>1-466-842-8384</t>
  </si>
  <si>
    <t>tellus.aenean@google.ca</t>
  </si>
  <si>
    <t>Lima</t>
  </si>
  <si>
    <t>Adena Gibson</t>
  </si>
  <si>
    <t>(795) 717-2614</t>
  </si>
  <si>
    <t>risus@yahoo.com</t>
  </si>
  <si>
    <t>QuindÃ­o</t>
  </si>
  <si>
    <t>Kirby Holman</t>
  </si>
  <si>
    <t>1-680-731-0643</t>
  </si>
  <si>
    <t>elit@protonmail.org</t>
  </si>
  <si>
    <t>Western Visayas</t>
  </si>
  <si>
    <t>Dolan Whitley</t>
  </si>
  <si>
    <t>(245) 289-6453</t>
  </si>
  <si>
    <t>odio@hotmail.ca</t>
  </si>
  <si>
    <t>Cynthia Everett</t>
  </si>
  <si>
    <t>(676) 719-2667</t>
  </si>
  <si>
    <t>amet.nulla@outlook.ca</t>
  </si>
  <si>
    <t>C1D 5GZ</t>
  </si>
  <si>
    <t>Oaxaca</t>
  </si>
  <si>
    <t>Xanthus Shaffer</t>
  </si>
  <si>
    <t>(558) 939-1643</t>
  </si>
  <si>
    <t>dolor.dapibus.gravida@icloud.net</t>
  </si>
  <si>
    <t>Nigel Aguilar</t>
  </si>
  <si>
    <t>1-707-827-0664</t>
  </si>
  <si>
    <t>cursus.non@hotmail.net</t>
  </si>
  <si>
    <t>Lombardia</t>
  </si>
  <si>
    <t>Steven Snow</t>
  </si>
  <si>
    <t>1-296-341-6448</t>
  </si>
  <si>
    <t>fusce.feugiat@yahoo.ca</t>
  </si>
  <si>
    <t>Ninh Thuáº­n</t>
  </si>
  <si>
    <t>Lawrence Case</t>
  </si>
  <si>
    <t>1-937-676-3761</t>
  </si>
  <si>
    <t>lobortis.quam.a@icloud.com</t>
  </si>
  <si>
    <t>M2T 8R8</t>
  </si>
  <si>
    <t>Ä°zmir</t>
  </si>
  <si>
    <t>Quamar Williams</t>
  </si>
  <si>
    <t>(671) 474-3957</t>
  </si>
  <si>
    <t>phasellus.in@icloud.ca</t>
  </si>
  <si>
    <t>Zuid Holland</t>
  </si>
  <si>
    <t>Plato Mcmahon</t>
  </si>
  <si>
    <t>(974) 469-4255</t>
  </si>
  <si>
    <t>ornare.placerat@hotmail.org</t>
  </si>
  <si>
    <t>52671-891</t>
  </si>
  <si>
    <t>Rheinland-Pfalz</t>
  </si>
  <si>
    <t>Dean Wilkins</t>
  </si>
  <si>
    <t>1-767-860-6647</t>
  </si>
  <si>
    <t>nulla.semper@aol.ca</t>
  </si>
  <si>
    <t>Limpopo</t>
  </si>
  <si>
    <t>Wade Perez</t>
  </si>
  <si>
    <t>(271) 834-3482</t>
  </si>
  <si>
    <t>imperdiet.dictum@yahoo.org</t>
  </si>
  <si>
    <t>Kentucky</t>
  </si>
  <si>
    <t>Raven Sargent</t>
  </si>
  <si>
    <t>(825) 878-7397</t>
  </si>
  <si>
    <t>mauris@protonmail.edu</t>
  </si>
  <si>
    <t>Los RÃ­os</t>
  </si>
  <si>
    <t>Kylynn Dale</t>
  </si>
  <si>
    <t>1-461-739-5690</t>
  </si>
  <si>
    <t>est.tempor@google.net</t>
  </si>
  <si>
    <t>1228 HV</t>
  </si>
  <si>
    <t>Katsina</t>
  </si>
  <si>
    <t>Jane Turner</t>
  </si>
  <si>
    <t>(744) 571-1271</t>
  </si>
  <si>
    <t>vel.sapien@yahoo.net</t>
  </si>
  <si>
    <t>N6W 2Z4</t>
  </si>
  <si>
    <t>Munster</t>
  </si>
  <si>
    <t>Pascale Armstrong</t>
  </si>
  <si>
    <t>1-635-618-7322</t>
  </si>
  <si>
    <t>risus.donec@google.com</t>
  </si>
  <si>
    <t>93-557</t>
  </si>
  <si>
    <t>Dale Hester</t>
  </si>
  <si>
    <t>(349) 531-7874</t>
  </si>
  <si>
    <t>arcu.aliquam@yahoo.net</t>
  </si>
  <si>
    <t>63-77</t>
  </si>
  <si>
    <t>Missouri</t>
  </si>
  <si>
    <t>Tad Small</t>
  </si>
  <si>
    <t>(336) 632-8783</t>
  </si>
  <si>
    <t>sed@google.edu</t>
  </si>
  <si>
    <t>Moscow Oblast</t>
  </si>
  <si>
    <t>Kristen Rich</t>
  </si>
  <si>
    <t>1-475-490-6257</t>
  </si>
  <si>
    <t>tellus.imperdiet@google.edu</t>
  </si>
  <si>
    <t>Special Region of Yogyakarta</t>
  </si>
  <si>
    <t>Xavier Potter</t>
  </si>
  <si>
    <t>(538) 640-2521</t>
  </si>
  <si>
    <t>conubia.nostra@hotmail.com</t>
  </si>
  <si>
    <t>Lavinia Ferrell</t>
  </si>
  <si>
    <t>1-770-521-3652</t>
  </si>
  <si>
    <t>cras.interdum@aol.ca</t>
  </si>
  <si>
    <t>58-554</t>
  </si>
  <si>
    <t>Josephine Owens</t>
  </si>
  <si>
    <t>(588) 819-9118</t>
  </si>
  <si>
    <t>1473-5341</t>
  </si>
  <si>
    <t>Thor Noble</t>
  </si>
  <si>
    <t>(385) 405-8214</t>
  </si>
  <si>
    <t>suscipit.est@aol.ca</t>
  </si>
  <si>
    <t>Colorado</t>
  </si>
  <si>
    <t>Ignacia Davidson</t>
  </si>
  <si>
    <t>1-835-531-7653</t>
  </si>
  <si>
    <t>a.feugiat@yahoo.net</t>
  </si>
  <si>
    <t>Hatay</t>
  </si>
  <si>
    <t>Macy Crane</t>
  </si>
  <si>
    <t>1-373-438-7768</t>
  </si>
  <si>
    <t>hendrerit.donec@protonmail.ca</t>
  </si>
  <si>
    <t>7331-0571</t>
  </si>
  <si>
    <t>Central Visayas</t>
  </si>
  <si>
    <t>Demetrius Mclaughlin</t>
  </si>
  <si>
    <t>1-641-531-7865</t>
  </si>
  <si>
    <t>nec.quam@google.ca</t>
  </si>
  <si>
    <t>Los Lagos</t>
  </si>
  <si>
    <t>Sydnee Morse</t>
  </si>
  <si>
    <t>(734) 668-8733</t>
  </si>
  <si>
    <t>Kevin Cooley</t>
  </si>
  <si>
    <t>(146) 787-4571</t>
  </si>
  <si>
    <t>enim.sit@outlook.net</t>
  </si>
  <si>
    <t>14184-88492</t>
  </si>
  <si>
    <t>Valle del Cauca</t>
  </si>
  <si>
    <t>Hillary Livingston</t>
  </si>
  <si>
    <t>1-477-885-3776</t>
  </si>
  <si>
    <t>maecenas.libero@google.com</t>
  </si>
  <si>
    <t>Principado de Asturias</t>
  </si>
  <si>
    <t>Tarik Taylor</t>
  </si>
  <si>
    <t>1-349-586-7685</t>
  </si>
  <si>
    <t>arcu.vestibulum@hotmail.net</t>
  </si>
  <si>
    <t>Vorarlberg</t>
  </si>
  <si>
    <t>Orla Randolph</t>
  </si>
  <si>
    <t>1-476-536-8558</t>
  </si>
  <si>
    <t>ut.dolor.dapibus@hotmail.edu</t>
  </si>
  <si>
    <t>Oost-Vlaanderen</t>
  </si>
  <si>
    <t>Amity Macias</t>
  </si>
  <si>
    <t>(209) 545-1813</t>
  </si>
  <si>
    <t>sagittis.nullam@protonmail.edu</t>
  </si>
  <si>
    <t>Jigawa</t>
  </si>
  <si>
    <t>Kirsten Odom</t>
  </si>
  <si>
    <t>(356) 878-8577</t>
  </si>
  <si>
    <t>blandit.nam.nulla@google.org</t>
  </si>
  <si>
    <t>Adrienne Justice</t>
  </si>
  <si>
    <t>(223) 287-5835</t>
  </si>
  <si>
    <t>consequat@aol.com</t>
  </si>
  <si>
    <t>Nunavut</t>
  </si>
  <si>
    <t>Althea Todd</t>
  </si>
  <si>
    <t>(138) 777-8867</t>
  </si>
  <si>
    <t>est.mollis@hotmail.org</t>
  </si>
  <si>
    <t>Kevin Boone</t>
  </si>
  <si>
    <t>1-524-723-3782</t>
  </si>
  <si>
    <t>est.mauris@aol.ca</t>
  </si>
  <si>
    <t>Kujawsko-pomorskie</t>
  </si>
  <si>
    <t>Dexter Avila</t>
  </si>
  <si>
    <t>1-934-402-4687</t>
  </si>
  <si>
    <t>mollis.duis@yahoo.edu</t>
  </si>
  <si>
    <t>Joel Miles</t>
  </si>
  <si>
    <t>1-237-498-1407</t>
  </si>
  <si>
    <t>a@protonmail.org</t>
  </si>
  <si>
    <t>Gyeonggi</t>
  </si>
  <si>
    <t>Iola Ratliff</t>
  </si>
  <si>
    <t>1-435-631-1841</t>
  </si>
  <si>
    <t>nascetur.ridiculus@outlook.com</t>
  </si>
  <si>
    <t>Yukon</t>
  </si>
  <si>
    <t>Dean Mooney</t>
  </si>
  <si>
    <t>(666) 329-5845</t>
  </si>
  <si>
    <t>aliquam.vulputate.ullamcorper@hotmail.com</t>
  </si>
  <si>
    <t>Kocaeli</t>
  </si>
  <si>
    <t>Griffith Stokes</t>
  </si>
  <si>
    <t>1-146-729-2959</t>
  </si>
  <si>
    <t>phasellus@hotmail.net</t>
  </si>
  <si>
    <t>5455-8197</t>
  </si>
  <si>
    <t>Sumy oblast</t>
  </si>
  <si>
    <t>Demetrius Summers</t>
  </si>
  <si>
    <t>(762) 104-3478</t>
  </si>
  <si>
    <t>S4Y 8B2</t>
  </si>
  <si>
    <t>Pernambuco</t>
  </si>
  <si>
    <t>Delilah Blanchard</t>
  </si>
  <si>
    <t>(736) 836-8754</t>
  </si>
  <si>
    <t>quis.diam.pellentesque@yahoo.com</t>
  </si>
  <si>
    <t>Viken</t>
  </si>
  <si>
    <t>Jana Talley</t>
  </si>
  <si>
    <t>(711) 153-2598</t>
  </si>
  <si>
    <t>dui.suspendisse.ac@yahoo.com</t>
  </si>
  <si>
    <t>Luxemburg</t>
  </si>
  <si>
    <t>Kiayada Sheppard</t>
  </si>
  <si>
    <t>(369) 855-6213</t>
  </si>
  <si>
    <t>vehicula.pellentesque@yahoo.net</t>
  </si>
  <si>
    <t>MÃ¸re og Romsdal</t>
  </si>
  <si>
    <t>Lance Sampson</t>
  </si>
  <si>
    <t>(635) 637-1220</t>
  </si>
  <si>
    <t>Curran Snow</t>
  </si>
  <si>
    <t>(126) 299-1284</t>
  </si>
  <si>
    <t>ligula.eu@aol.com</t>
  </si>
  <si>
    <t>Central Kalimantan</t>
  </si>
  <si>
    <t>Cleo Castaneda</t>
  </si>
  <si>
    <t>(942) 850-9145</t>
  </si>
  <si>
    <t>nunc.commodo.auctor@protonmail.com</t>
  </si>
  <si>
    <t>Salvador Owens</t>
  </si>
  <si>
    <t>(862) 468-0753</t>
  </si>
  <si>
    <t>curabitur.dictum@outlook.ca</t>
  </si>
  <si>
    <t>Bretagne</t>
  </si>
  <si>
    <t>Ila Holder</t>
  </si>
  <si>
    <t>1-269-874-9498</t>
  </si>
  <si>
    <t>eget.metus@outlook.edu</t>
  </si>
  <si>
    <t>Dennis Nixon</t>
  </si>
  <si>
    <t>(733) 724-4840</t>
  </si>
  <si>
    <t>aenean.sed@hotmail.net</t>
  </si>
  <si>
    <t>Nuevo LeÃ³n</t>
  </si>
  <si>
    <t>Cain Cunningham</t>
  </si>
  <si>
    <t>(755) 402-8448</t>
  </si>
  <si>
    <t>consectetuer.adipiscing@yahoo.edu</t>
  </si>
  <si>
    <t>Putumayo</t>
  </si>
  <si>
    <t>Malcolm Fitzgerald</t>
  </si>
  <si>
    <t>(232) 623-3323</t>
  </si>
  <si>
    <t>a.malesuada@google.net</t>
  </si>
  <si>
    <t>Irene Love</t>
  </si>
  <si>
    <t>(532) 296-3512</t>
  </si>
  <si>
    <t>tincidunt.aliquam@hotmail.ca</t>
  </si>
  <si>
    <t>Western Cape</t>
  </si>
  <si>
    <t>Georgia Whitaker</t>
  </si>
  <si>
    <t>1-424-417-8593</t>
  </si>
  <si>
    <t>convallis.dolor.quisque@yahoo.org</t>
  </si>
  <si>
    <t>Nomlanga Quinn</t>
  </si>
  <si>
    <t>(185) 336-0305</t>
  </si>
  <si>
    <t>dignissim.magna@protonmail.edu</t>
  </si>
  <si>
    <t>Puntarenas</t>
  </si>
  <si>
    <t>Malik Watkins</t>
  </si>
  <si>
    <t>1-761-788-2245</t>
  </si>
  <si>
    <t>Northwest Territories</t>
  </si>
  <si>
    <t>Rowan Bowman</t>
  </si>
  <si>
    <t>1-405-398-5461</t>
  </si>
  <si>
    <t>rhoncus.proin@aol.org</t>
  </si>
  <si>
    <t>75745-221</t>
  </si>
  <si>
    <t>Glamorgan</t>
  </si>
  <si>
    <t>Timothy Weeks</t>
  </si>
  <si>
    <t>1-483-940-4675</t>
  </si>
  <si>
    <t>augue.sed@protonmail.com</t>
  </si>
  <si>
    <t>Gauteng</t>
  </si>
  <si>
    <t>Melissa Phelps</t>
  </si>
  <si>
    <t>1-717-769-4318</t>
  </si>
  <si>
    <t>turpis.non.enim@icloud.ca</t>
  </si>
  <si>
    <t>Bangsamoro</t>
  </si>
  <si>
    <t>Octavius Riley</t>
  </si>
  <si>
    <t>(818) 215-7673</t>
  </si>
  <si>
    <t>magnis@protonmail.org</t>
  </si>
  <si>
    <t>Lubuskie</t>
  </si>
  <si>
    <t>Ori Donaldson</t>
  </si>
  <si>
    <t>(722) 748-8186</t>
  </si>
  <si>
    <t>Brandon Montoya</t>
  </si>
  <si>
    <t>(356) 768-8461</t>
  </si>
  <si>
    <t>nonummy@aol.net</t>
  </si>
  <si>
    <t>Puno</t>
  </si>
  <si>
    <t>Anne Boyle</t>
  </si>
  <si>
    <t>(611) 386-2545</t>
  </si>
  <si>
    <t>tellus@yahoo.com</t>
  </si>
  <si>
    <t>Jasper Rodriguez</t>
  </si>
  <si>
    <t>(444) 459-7841</t>
  </si>
  <si>
    <t>egestas.fusce@outlook.ca</t>
  </si>
  <si>
    <t>Manitoba</t>
  </si>
  <si>
    <t>Cameron Talley</t>
  </si>
  <si>
    <t>1-289-433-5755</t>
  </si>
  <si>
    <t>risus.donec.egestas@google.com</t>
  </si>
  <si>
    <t>Chase Page</t>
  </si>
  <si>
    <t>1-641-268-5257</t>
  </si>
  <si>
    <t>integer.tincidunt.aliquam@aol.com</t>
  </si>
  <si>
    <t>Valle d'Aosta</t>
  </si>
  <si>
    <t>Russell Goodwin</t>
  </si>
  <si>
    <t>1-822-965-7224</t>
  </si>
  <si>
    <t>quisque.purus.sapien@icloud.ca</t>
  </si>
  <si>
    <t>6582-1818</t>
  </si>
  <si>
    <t>Moses Williamson</t>
  </si>
  <si>
    <t>(222) 471-5516</t>
  </si>
  <si>
    <t>elementum@protonmail.org</t>
  </si>
  <si>
    <t>Quinn Alexander</t>
  </si>
  <si>
    <t>(851) 525-3194</t>
  </si>
  <si>
    <t>eget@hotmail.edu</t>
  </si>
  <si>
    <t>R4R 2L4</t>
  </si>
  <si>
    <t>Rylee Beard</t>
  </si>
  <si>
    <t>(436) 744-5607</t>
  </si>
  <si>
    <t>donec.nibh@outlook.edu</t>
  </si>
  <si>
    <t>Southeast Sulawesi</t>
  </si>
  <si>
    <t>Kelly Austin</t>
  </si>
  <si>
    <t>(619) 431-4815</t>
  </si>
  <si>
    <t>viverra.donec@google.edu</t>
  </si>
  <si>
    <t>Murmansk Oblast</t>
  </si>
  <si>
    <t>Zorita Rivas</t>
  </si>
  <si>
    <t>(570) 264-2651</t>
  </si>
  <si>
    <t>ultricies.ligula@protonmail.ca</t>
  </si>
  <si>
    <t>74715-65959</t>
  </si>
  <si>
    <t>HÃ  Ná»™i</t>
  </si>
  <si>
    <t>Geoffrey Fleming</t>
  </si>
  <si>
    <t>(231) 735-2583</t>
  </si>
  <si>
    <t>inceptos.hymenaeos@outlook.edu</t>
  </si>
  <si>
    <t>Regina Stokes</t>
  </si>
  <si>
    <t>1-389-334-8187</t>
  </si>
  <si>
    <t>magna.ut@icloud.net</t>
  </si>
  <si>
    <t>XÄ«bÄ›i</t>
  </si>
  <si>
    <t>Xantha Michael</t>
  </si>
  <si>
    <t>1-955-969-8692</t>
  </si>
  <si>
    <t>ipsum.primis.in@protonmail.com</t>
  </si>
  <si>
    <t>Stephanie Berg</t>
  </si>
  <si>
    <t>(884) 265-6534</t>
  </si>
  <si>
    <t>lacus@outlook.org</t>
  </si>
  <si>
    <t>58561-615</t>
  </si>
  <si>
    <t>Arsenio Farley</t>
  </si>
  <si>
    <t>1-705-180-6628</t>
  </si>
  <si>
    <t>aliquam@aol.com</t>
  </si>
  <si>
    <t>Newfoundland and Labrador</t>
  </si>
  <si>
    <t>Mona Sawyer</t>
  </si>
  <si>
    <t>1-360-609-9853</t>
  </si>
  <si>
    <t>sagittis@yahoo.ca</t>
  </si>
  <si>
    <t>Deanna Colon</t>
  </si>
  <si>
    <t>1-712-116-7261</t>
  </si>
  <si>
    <t>a.nunc@aol.org</t>
  </si>
  <si>
    <t>Noord Brabant</t>
  </si>
  <si>
    <t>Barrett William</t>
  </si>
  <si>
    <t>1-335-996-5563</t>
  </si>
  <si>
    <t>Andaman and Nicobar Islands</t>
  </si>
  <si>
    <t>Tashya Reeves</t>
  </si>
  <si>
    <t>(313) 566-4635</t>
  </si>
  <si>
    <t>dignissim.lacus.aliquam@google.com</t>
  </si>
  <si>
    <t>Tasmania</t>
  </si>
  <si>
    <t>Evan Baker</t>
  </si>
  <si>
    <t>(114) 241-1004</t>
  </si>
  <si>
    <t>facilisis@hotmail.ca</t>
  </si>
  <si>
    <t>Aaron Horton</t>
  </si>
  <si>
    <t>(835) 248-1966</t>
  </si>
  <si>
    <t>vel.quam@aol.edu</t>
  </si>
  <si>
    <t>93718-58868</t>
  </si>
  <si>
    <t>Idona Austin</t>
  </si>
  <si>
    <t>(514) 782-1325</t>
  </si>
  <si>
    <t>ullamcorper.magna.sed@protonmail.edu</t>
  </si>
  <si>
    <t>Aladdin Conrad</t>
  </si>
  <si>
    <t>1-725-444-2472</t>
  </si>
  <si>
    <t>T0X 5P9</t>
  </si>
  <si>
    <t>Soccsksargen</t>
  </si>
  <si>
    <t>Renee Barron</t>
  </si>
  <si>
    <t>1-322-726-1746</t>
  </si>
  <si>
    <t>luctus.ipsum@google.net</t>
  </si>
  <si>
    <t>Natalie Burt</t>
  </si>
  <si>
    <t>(494) 266-7263</t>
  </si>
  <si>
    <t>ut.semper@outlook.org</t>
  </si>
  <si>
    <t>Kano</t>
  </si>
  <si>
    <t>Fitzgerald Case</t>
  </si>
  <si>
    <t>(519) 852-1653</t>
  </si>
  <si>
    <t>nibh.dolor.nonummy@icloud.com</t>
  </si>
  <si>
    <t>Colin Lambert</t>
  </si>
  <si>
    <t>(568) 877-6330</t>
  </si>
  <si>
    <t>semper.nam@yahoo.com</t>
  </si>
  <si>
    <t>Keely Spears</t>
  </si>
  <si>
    <t>(623) 368-7825</t>
  </si>
  <si>
    <t>ac.facilisis.facilisis@yahoo.ca</t>
  </si>
  <si>
    <t>Castilla - La Mancha</t>
  </si>
  <si>
    <t>Hayes Paul</t>
  </si>
  <si>
    <t>(378) 564-4168</t>
  </si>
  <si>
    <t>Troms og Finnmark</t>
  </si>
  <si>
    <t>Dale Holcomb</t>
  </si>
  <si>
    <t>(454) 775-7817</t>
  </si>
  <si>
    <t>auctor@google.edu</t>
  </si>
  <si>
    <t>Tamara Juarez</t>
  </si>
  <si>
    <t>1-817-792-4345</t>
  </si>
  <si>
    <t>auctor.nunc@protonmail.ca</t>
  </si>
  <si>
    <t>Kasper Noel</t>
  </si>
  <si>
    <t>1-721-321-6033</t>
  </si>
  <si>
    <t>proin.nisl@aol.com</t>
  </si>
  <si>
    <t>Francesca Pratt</t>
  </si>
  <si>
    <t>1-246-823-7734</t>
  </si>
  <si>
    <t>varius.orci.in@google.org</t>
  </si>
  <si>
    <t>1780-5507</t>
  </si>
  <si>
    <t>Gray Goodman</t>
  </si>
  <si>
    <t>1-677-575-2535</t>
  </si>
  <si>
    <t>52-141</t>
  </si>
  <si>
    <t>Ross-shire</t>
  </si>
  <si>
    <t>Noah Boone</t>
  </si>
  <si>
    <t>(441) 514-3528</t>
  </si>
  <si>
    <t>purus.mauris@yahoo.ca</t>
  </si>
  <si>
    <t>Sonora</t>
  </si>
  <si>
    <t>Nelle Moon</t>
  </si>
  <si>
    <t>(289) 235-8725</t>
  </si>
  <si>
    <t>Cambridgeshire</t>
  </si>
  <si>
    <t>Uma Albert</t>
  </si>
  <si>
    <t>(525) 465-3682</t>
  </si>
  <si>
    <t>tristique.senectus@hotmail.net</t>
  </si>
  <si>
    <t>Podkarpackie</t>
  </si>
  <si>
    <t>Raya Rivers</t>
  </si>
  <si>
    <t>1-572-347-3393</t>
  </si>
  <si>
    <t>parturient.montes.nascetur@protonmail.org</t>
  </si>
  <si>
    <t>Australian Capital Territory</t>
  </si>
  <si>
    <t>Yvette Mcgee</t>
  </si>
  <si>
    <t>(301) 781-2157</t>
  </si>
  <si>
    <t>aliquam.adipiscing.lobortis@icloud.ca</t>
  </si>
  <si>
    <t>Vlaams-Brabant</t>
  </si>
  <si>
    <t>Harriet Mejia</t>
  </si>
  <si>
    <t>(513) 675-5128</t>
  </si>
  <si>
    <t>Maharastra</t>
  </si>
  <si>
    <t>Yuli Fowler</t>
  </si>
  <si>
    <t>(941) 431-6745</t>
  </si>
  <si>
    <t>sed.pharetra@yahoo.org</t>
  </si>
  <si>
    <t>Oregon</t>
  </si>
  <si>
    <t>Kenyon Taylor</t>
  </si>
  <si>
    <t>(215) 261-1137</t>
  </si>
  <si>
    <t>eu.arcu@aol.org</t>
  </si>
  <si>
    <t>Heidi Callahan</t>
  </si>
  <si>
    <t>(548) 568-1977</t>
  </si>
  <si>
    <t>sollicitudin@google.org</t>
  </si>
  <si>
    <t>Báº¯c Giang</t>
  </si>
  <si>
    <t>Shelby Morrow</t>
  </si>
  <si>
    <t>1-918-827-5936</t>
  </si>
  <si>
    <t>purus.nullam@outlook.edu</t>
  </si>
  <si>
    <t>Hadley Dunn</t>
  </si>
  <si>
    <t>1-561-872-8534</t>
  </si>
  <si>
    <t>Peter Haney</t>
  </si>
  <si>
    <t>(341) 483-2372</t>
  </si>
  <si>
    <t>lacus@icloud.com</t>
  </si>
  <si>
    <t>Xena Ford</t>
  </si>
  <si>
    <t>(884) 355-8271</t>
  </si>
  <si>
    <t>a.auctor@hotmail.com</t>
  </si>
  <si>
    <t>YÃªn BÃ¡i</t>
  </si>
  <si>
    <t>Kelly Stark</t>
  </si>
  <si>
    <t>1-217-425-9550</t>
  </si>
  <si>
    <t>Madonna Mullen</t>
  </si>
  <si>
    <t>(598) 655-1772</t>
  </si>
  <si>
    <t>MaranhÃ£o</t>
  </si>
  <si>
    <t>Emery Barnes</t>
  </si>
  <si>
    <t>(583) 746-5001</t>
  </si>
  <si>
    <t>46-66</t>
  </si>
  <si>
    <t>Vanna Owen</t>
  </si>
  <si>
    <t>(874) 293-0496</t>
  </si>
  <si>
    <t>Denbighshire</t>
  </si>
  <si>
    <t>Avram Ewing</t>
  </si>
  <si>
    <t>1-110-825-8779</t>
  </si>
  <si>
    <t>Karyn Blevins</t>
  </si>
  <si>
    <t>(989) 488-7961</t>
  </si>
  <si>
    <t>elit.curabitur@outlook.org</t>
  </si>
  <si>
    <t>Zachery Webster</t>
  </si>
  <si>
    <t>1-273-966-2855</t>
  </si>
  <si>
    <t>semper.nam@hotmail.edu</t>
  </si>
  <si>
    <t>Illiana Gregory</t>
  </si>
  <si>
    <t>(528) 879-1153</t>
  </si>
  <si>
    <t>Toscana</t>
  </si>
  <si>
    <t>Dennis Battle</t>
  </si>
  <si>
    <t>1-890-401-7665</t>
  </si>
  <si>
    <t>venenatis.vel@hotmail.net</t>
  </si>
  <si>
    <t>Renfrewshire</t>
  </si>
  <si>
    <t>Randall Doyle</t>
  </si>
  <si>
    <t>(483) 386-0131</t>
  </si>
  <si>
    <t>varius.et@aol.edu</t>
  </si>
  <si>
    <t>Isaac Potts</t>
  </si>
  <si>
    <t>1-137-723-1422</t>
  </si>
  <si>
    <t>ante.ipsum@icloud.ca</t>
  </si>
  <si>
    <t>Niedersachsen</t>
  </si>
  <si>
    <t>Kiara Higgins</t>
  </si>
  <si>
    <t>(428) 906-8882</t>
  </si>
  <si>
    <t>pede.sagittis.augue@yahoo.ca</t>
  </si>
  <si>
    <t>Benue</t>
  </si>
  <si>
    <t>Ursa Solomon</t>
  </si>
  <si>
    <t>1-805-385-4327</t>
  </si>
  <si>
    <t>morbi@protonmail.edu</t>
  </si>
  <si>
    <t>I5L 2L5</t>
  </si>
  <si>
    <t>Schleswig-Holstein</t>
  </si>
  <si>
    <t>Carter Willis</t>
  </si>
  <si>
    <t>(778) 186-3761</t>
  </si>
  <si>
    <t>libero.donec.consectetuer@yahoo.ca</t>
  </si>
  <si>
    <t>46615-76480</t>
  </si>
  <si>
    <t>Jalisco</t>
  </si>
  <si>
    <t>Demetrius Porter</t>
  </si>
  <si>
    <t>(792) 458-8602</t>
  </si>
  <si>
    <t>sagittis.semper@protonmail.edu</t>
  </si>
  <si>
    <t>Alajuela</t>
  </si>
  <si>
    <t>Aaron Sims</t>
  </si>
  <si>
    <t>(168) 216-9788</t>
  </si>
  <si>
    <t>dui@aol.org</t>
  </si>
  <si>
    <t>Hakeem Pugh</t>
  </si>
  <si>
    <t>1-579-281-4641</t>
  </si>
  <si>
    <t>Reagan Coffey</t>
  </si>
  <si>
    <t>1-654-465-6669</t>
  </si>
  <si>
    <t>in.tincidunt.congue@icloud.ca</t>
  </si>
  <si>
    <t>Southwestern Tagalog Region</t>
  </si>
  <si>
    <t>Amal Snow</t>
  </si>
  <si>
    <t>1-617-911-2387</t>
  </si>
  <si>
    <t>consectetuer.adipiscing@hotmail.net</t>
  </si>
  <si>
    <t>7499-6433</t>
  </si>
  <si>
    <t>Nola Schmidt</t>
  </si>
  <si>
    <t>1-800-557-5783</t>
  </si>
  <si>
    <t>consectetuer@yahoo.net</t>
  </si>
  <si>
    <t>Alec Douglas</t>
  </si>
  <si>
    <t>1-223-542-7868</t>
  </si>
  <si>
    <t>Clio Mccullough</t>
  </si>
  <si>
    <t>1-295-440-1832</t>
  </si>
  <si>
    <t>magna.malesuada@google.edu</t>
  </si>
  <si>
    <t>Franche-ComtÃ©</t>
  </si>
  <si>
    <t>Chantale Woodard</t>
  </si>
  <si>
    <t>1-382-377-6634</t>
  </si>
  <si>
    <t>ac@outlook.ca</t>
  </si>
  <si>
    <t>Graiden Lancaster</t>
  </si>
  <si>
    <t>(282) 722-6958</t>
  </si>
  <si>
    <t>enim.suspendisse.aliquet@google.edu</t>
  </si>
  <si>
    <t>Sutherland</t>
  </si>
  <si>
    <t>Malik Bird</t>
  </si>
  <si>
    <t>1-542-112-9464</t>
  </si>
  <si>
    <t>luctus.et.ultrices@icloud.edu</t>
  </si>
  <si>
    <t>Price Padilla</t>
  </si>
  <si>
    <t>1-453-366-4122</t>
  </si>
  <si>
    <t>Emerson Deleon</t>
  </si>
  <si>
    <t>(627) 261-2534</t>
  </si>
  <si>
    <t>West Nusa Tenggara</t>
  </si>
  <si>
    <t>Katelyn Harris</t>
  </si>
  <si>
    <t>1-343-344-4187</t>
  </si>
  <si>
    <t>Walter Suarez</t>
  </si>
  <si>
    <t>1-445-801-9496</t>
  </si>
  <si>
    <t>at.nisi@hotmail.ca</t>
  </si>
  <si>
    <t>North Chungcheong</t>
  </si>
  <si>
    <t>Alexis Meyers</t>
  </si>
  <si>
    <t>(813) 318-7041</t>
  </si>
  <si>
    <t>tellus@icloud.org</t>
  </si>
  <si>
    <t>egestas.rhoncus@google.co.uk</t>
  </si>
  <si>
    <t>sem.vitae@outlook.co.uk</t>
  </si>
  <si>
    <t>lacus.mauris@protonmail.co.uk</t>
  </si>
  <si>
    <t>conubia.nostra.per@protonmail.co.uk</t>
  </si>
  <si>
    <t>mi.pede.nonummy@aol.co.uk</t>
  </si>
  <si>
    <t>ac.mattis@protonmail.co.uk</t>
  </si>
  <si>
    <t>sodales@outlook.co.uk</t>
  </si>
  <si>
    <t>quisque.nonummy.ipsum@protonmail.co.uk</t>
  </si>
  <si>
    <t>taciti@aol.co.uk</t>
  </si>
  <si>
    <t>sodales.at@yahoo.co.uk</t>
  </si>
  <si>
    <t>dui.suspendisse@protonmail.co.uk</t>
  </si>
  <si>
    <t>in.ornare.sagittis@google.co.uk</t>
  </si>
  <si>
    <t>tellus.justo.sit@aol.co.uk</t>
  </si>
  <si>
    <t>aliquam.iaculis@google.co.uk</t>
  </si>
  <si>
    <t>nulla.tincidunt@outlook.co.uk</t>
  </si>
  <si>
    <t>eu@hotmail.co.uk</t>
  </si>
  <si>
    <t>rhoncus.donec.est@aol.co.uk</t>
  </si>
  <si>
    <t>auctor.odio.a@protonmail.co.uk</t>
  </si>
  <si>
    <t>nonummy.fusce@yahoo.co.uk</t>
  </si>
  <si>
    <t>rhoncus.nullam.velit@outlook.co.uk</t>
  </si>
  <si>
    <t>libero.dui@yahoo.co.uk</t>
  </si>
  <si>
    <t>molestie.tellus@icloud.co.uk</t>
  </si>
  <si>
    <t>sed.dictum@protonmail.co.uk</t>
  </si>
  <si>
    <t>tristique.pellentesque.tellus@hotmail.co.uk</t>
  </si>
  <si>
    <t>volutpat.ornare@hotmail.co.uk</t>
  </si>
  <si>
    <t>volutpat.nunc.sit@protonmail.co.uk</t>
  </si>
  <si>
    <t>molestie.tortor@hotmail.co.uk</t>
  </si>
  <si>
    <t>aliquam.auctor.velit@icloud.co.uk</t>
  </si>
  <si>
    <t>urna.nullam@protonmail.co.uk</t>
  </si>
  <si>
    <t>mollis.dui@aol.co.uk</t>
  </si>
  <si>
    <t>nulla@icloud.co.uk</t>
  </si>
  <si>
    <t>Name</t>
  </si>
  <si>
    <t>Phone</t>
  </si>
  <si>
    <t>Email</t>
  </si>
  <si>
    <t>PostalZip</t>
  </si>
  <si>
    <t>Region</t>
  </si>
  <si>
    <t>Country</t>
  </si>
  <si>
    <t>IsValid</t>
  </si>
  <si>
    <t>Row Labels</t>
  </si>
  <si>
    <t>Grand Total</t>
  </si>
  <si>
    <t>FALSE</t>
  </si>
  <si>
    <t>TRUE</t>
  </si>
  <si>
    <t>OrderValue</t>
  </si>
  <si>
    <t>Sum of OrderValue</t>
  </si>
  <si>
    <t>Average of Rating</t>
  </si>
  <si>
    <t>Count of Score</t>
  </si>
  <si>
    <t>Count of PostalZip</t>
  </si>
  <si>
    <t>Column Labels</t>
  </si>
  <si>
    <t>Total Sum of OrderValue</t>
  </si>
  <si>
    <t>Total Sum of Calc Field 0</t>
  </si>
  <si>
    <t>Sum of Calc Field 0</t>
  </si>
  <si>
    <t>Sum of Rating</t>
  </si>
  <si>
    <t>Sum of Score</t>
  </si>
  <si>
    <t>Average of OrderValue2</t>
  </si>
  <si>
    <t>Count of OrderValue2</t>
  </si>
  <si>
    <t>Average of Score</t>
  </si>
  <si>
    <t>Australia Sum</t>
  </si>
  <si>
    <t>Australia Count</t>
  </si>
  <si>
    <t>Australia Average</t>
  </si>
  <si>
    <t>Austria Sum</t>
  </si>
  <si>
    <t>Austria Count</t>
  </si>
  <si>
    <t>Austria Average</t>
  </si>
  <si>
    <t>Belgium Sum</t>
  </si>
  <si>
    <t>Belgium Count</t>
  </si>
  <si>
    <t>Belgium Average</t>
  </si>
  <si>
    <t>Brazil Sum</t>
  </si>
  <si>
    <t>Brazil Count</t>
  </si>
  <si>
    <t>Brazil Average</t>
  </si>
  <si>
    <t>Canada Sum</t>
  </si>
  <si>
    <t>Canada Count</t>
  </si>
  <si>
    <t>Canada Average</t>
  </si>
  <si>
    <t>Chile Sum</t>
  </si>
  <si>
    <t>Chile Count</t>
  </si>
  <si>
    <t>Chile Average</t>
  </si>
  <si>
    <t>China Sum</t>
  </si>
  <si>
    <t>China Count</t>
  </si>
  <si>
    <t>China Average</t>
  </si>
  <si>
    <t>Colombia Sum</t>
  </si>
  <si>
    <t>Colombia Count</t>
  </si>
  <si>
    <t>Colombia Average</t>
  </si>
  <si>
    <t>Costa Rica Sum</t>
  </si>
  <si>
    <t>Costa Rica Count</t>
  </si>
  <si>
    <t>Costa Rica Average</t>
  </si>
  <si>
    <t>France Sum</t>
  </si>
  <si>
    <t>France Count</t>
  </si>
  <si>
    <t>France Average</t>
  </si>
  <si>
    <t>Germany Sum</t>
  </si>
  <si>
    <t>Germany Count</t>
  </si>
  <si>
    <t>Germany Average</t>
  </si>
  <si>
    <t>India Sum</t>
  </si>
  <si>
    <t>India Count</t>
  </si>
  <si>
    <t>India Average</t>
  </si>
  <si>
    <t>Indonesia Sum</t>
  </si>
  <si>
    <t>Indonesia Count</t>
  </si>
  <si>
    <t>Indonesia Average</t>
  </si>
  <si>
    <t>Ireland Sum</t>
  </si>
  <si>
    <t>Ireland Count</t>
  </si>
  <si>
    <t>Ireland Average</t>
  </si>
  <si>
    <t>Italy Sum</t>
  </si>
  <si>
    <t>Italy Count</t>
  </si>
  <si>
    <t>Italy Average</t>
  </si>
  <si>
    <t>Mexico Sum</t>
  </si>
  <si>
    <t>Mexico Count</t>
  </si>
  <si>
    <t>Mexico Average</t>
  </si>
  <si>
    <t>Netherlands Sum</t>
  </si>
  <si>
    <t>Netherlands Count</t>
  </si>
  <si>
    <t>Netherlands Average</t>
  </si>
  <si>
    <t>New Zealand Sum</t>
  </si>
  <si>
    <t>New Zealand Count</t>
  </si>
  <si>
    <t>New Zealand Average</t>
  </si>
  <si>
    <t>Nigeria Sum</t>
  </si>
  <si>
    <t>Nigeria Count</t>
  </si>
  <si>
    <t>Nigeria Average</t>
  </si>
  <si>
    <t>Norway Sum</t>
  </si>
  <si>
    <t>Norway Count</t>
  </si>
  <si>
    <t>Norway Average</t>
  </si>
  <si>
    <t>Pakistan Sum</t>
  </si>
  <si>
    <t>Pakistan Count</t>
  </si>
  <si>
    <t>Pakistan Average</t>
  </si>
  <si>
    <t>Peru Sum</t>
  </si>
  <si>
    <t>Peru Count</t>
  </si>
  <si>
    <t>Peru Average</t>
  </si>
  <si>
    <t>Philippines Sum</t>
  </si>
  <si>
    <t>Philippines Count</t>
  </si>
  <si>
    <t>Philippines Average</t>
  </si>
  <si>
    <t>Poland Sum</t>
  </si>
  <si>
    <t>Poland Count</t>
  </si>
  <si>
    <t>Poland Average</t>
  </si>
  <si>
    <t>Russian Federation Sum</t>
  </si>
  <si>
    <t>Russian Federation Count</t>
  </si>
  <si>
    <t>Russian Federation Average</t>
  </si>
  <si>
    <t>Singapore Sum</t>
  </si>
  <si>
    <t>Singapore Count</t>
  </si>
  <si>
    <t>Singapore Average</t>
  </si>
  <si>
    <t>South Africa Sum</t>
  </si>
  <si>
    <t>South Africa Count</t>
  </si>
  <si>
    <t>South Africa Average</t>
  </si>
  <si>
    <t>South Korea Sum</t>
  </si>
  <si>
    <t>South Korea Count</t>
  </si>
  <si>
    <t>South Korea Average</t>
  </si>
  <si>
    <t>Spain Sum</t>
  </si>
  <si>
    <t>Spain Count</t>
  </si>
  <si>
    <t>Spain Average</t>
  </si>
  <si>
    <t>Sweden Sum</t>
  </si>
  <si>
    <t>Sweden Count</t>
  </si>
  <si>
    <t>Sweden Average</t>
  </si>
  <si>
    <t>Turkey Sum</t>
  </si>
  <si>
    <t>Turkey Count</t>
  </si>
  <si>
    <t>Turkey Average</t>
  </si>
  <si>
    <t>Ukraine Sum</t>
  </si>
  <si>
    <t>Ukraine Count</t>
  </si>
  <si>
    <t>Ukraine Average</t>
  </si>
  <si>
    <t>United Kingdom Sum</t>
  </si>
  <si>
    <t>United Kingdom Count</t>
  </si>
  <si>
    <t>United Kingdom Average</t>
  </si>
  <si>
    <t>United States Sum</t>
  </si>
  <si>
    <t>United States Count</t>
  </si>
  <si>
    <t>United States Average</t>
  </si>
  <si>
    <t>Vietnam Sum</t>
  </si>
  <si>
    <t>Vietnam Count</t>
  </si>
  <si>
    <t>Vietnam Average</t>
  </si>
  <si>
    <t>2023</t>
  </si>
  <si>
    <t>2020</t>
  </si>
  <si>
    <t>2022</t>
  </si>
  <si>
    <t>2021</t>
  </si>
  <si>
    <t>2024</t>
  </si>
  <si>
    <t>2025</t>
  </si>
  <si>
    <t>(All)</t>
  </si>
  <si>
    <t>Qtr2</t>
  </si>
  <si>
    <t>2022 Count</t>
  </si>
  <si>
    <t>2022 Max</t>
  </si>
  <si>
    <t>Qtr4</t>
  </si>
  <si>
    <t>Qtr3</t>
  </si>
  <si>
    <t>Qtr1</t>
  </si>
  <si>
    <t>2024 Count</t>
  </si>
  <si>
    <t>2024 Max</t>
  </si>
  <si>
    <t>Sep</t>
  </si>
  <si>
    <t>Aug</t>
  </si>
  <si>
    <t>Jul</t>
  </si>
  <si>
    <t>Apr</t>
  </si>
  <si>
    <t>May</t>
  </si>
  <si>
    <t>Jun</t>
  </si>
  <si>
    <t>2020 Count</t>
  </si>
  <si>
    <t>2020 Max</t>
  </si>
  <si>
    <t>Gangwon Sum</t>
  </si>
  <si>
    <t>Gangwon Average</t>
  </si>
  <si>
    <t>Ninh Thuáº­n Sum</t>
  </si>
  <si>
    <t>Ninh Thuáº­n Average</t>
  </si>
  <si>
    <t>Pskov Oblast Sum</t>
  </si>
  <si>
    <t>Pskov Oblast Average</t>
  </si>
  <si>
    <t>Puglia Sum</t>
  </si>
  <si>
    <t>Puglia Average</t>
  </si>
  <si>
    <t>Tambov Oblast Sum</t>
  </si>
  <si>
    <t>Tambov Oblast Average</t>
  </si>
  <si>
    <t>Kano Sum</t>
  </si>
  <si>
    <t>Kano Average</t>
  </si>
  <si>
    <t>MaranhÃ£o Sum</t>
  </si>
  <si>
    <t>MaranhÃ£o Average</t>
  </si>
  <si>
    <t>Melilla Sum</t>
  </si>
  <si>
    <t>Melilla Average</t>
  </si>
  <si>
    <t>Murmansk Oblast Sum</t>
  </si>
  <si>
    <t>Murmansk Oblast Average</t>
  </si>
  <si>
    <t>Niedersachsen Sum</t>
  </si>
  <si>
    <t>Niedersachsen Average</t>
  </si>
  <si>
    <t>Troms og Finnmark Sum</t>
  </si>
  <si>
    <t>Troms og Finnmark Average</t>
  </si>
  <si>
    <t>Western Cape Sum</t>
  </si>
  <si>
    <t>Western Cape Average</t>
  </si>
  <si>
    <t>Alberta Sum</t>
  </si>
  <si>
    <t>Alberta Average</t>
  </si>
  <si>
    <t>Báº¯c Giang Sum</t>
  </si>
  <si>
    <t>Báº¯c Giang Average</t>
  </si>
  <si>
    <t>HuÃ¡bÄ›i Sum</t>
  </si>
  <si>
    <t>HuÃ¡bÄ›i Average</t>
  </si>
  <si>
    <t>Kujawsko-pomorskie Sum</t>
  </si>
  <si>
    <t>Kujawsko-pomorskie Average</t>
  </si>
  <si>
    <t>Rogaland Sum</t>
  </si>
  <si>
    <t>Rogaland Average</t>
  </si>
  <si>
    <t>San JosÃ© Sum</t>
  </si>
  <si>
    <t>San JosÃ© Average</t>
  </si>
  <si>
    <t>Guanacaste Sum</t>
  </si>
  <si>
    <t>Guanacaste Average</t>
  </si>
  <si>
    <t>Leinster Sum</t>
  </si>
  <si>
    <t>Leinster Average</t>
  </si>
  <si>
    <t>Clackmannanshire Sum</t>
  </si>
  <si>
    <t>Clackmannanshire Average</t>
  </si>
  <si>
    <t>Gauteng Sum</t>
  </si>
  <si>
    <t>Gauteng Average</t>
  </si>
  <si>
    <t>Lazio Sum</t>
  </si>
  <si>
    <t>Lazio Average</t>
  </si>
  <si>
    <t>Limpopo Sum</t>
  </si>
  <si>
    <t>Limpopo Average</t>
  </si>
  <si>
    <t>Luxemburg Sum</t>
  </si>
  <si>
    <t>Luxemburg Average</t>
  </si>
  <si>
    <t>New Brunswick Sum</t>
  </si>
  <si>
    <t>New Brunswick Average</t>
  </si>
  <si>
    <t>Tasmania Sum</t>
  </si>
  <si>
    <t>Tasmania Average</t>
  </si>
  <si>
    <t>Western Visayas Sum</t>
  </si>
  <si>
    <t>Western Visayas Average</t>
  </si>
  <si>
    <t>Los Lagos Sum</t>
  </si>
  <si>
    <t>Los Lagos Average</t>
  </si>
  <si>
    <t>Luik Sum</t>
  </si>
  <si>
    <t>Luik Average</t>
  </si>
  <si>
    <t>Cambridgeshire Sum</t>
  </si>
  <si>
    <t>Cambridgeshire Average</t>
  </si>
  <si>
    <t>Uttarakhand Sum</t>
  </si>
  <si>
    <t>Uttarakhand Average</t>
  </si>
  <si>
    <t>Cajamarca Sum</t>
  </si>
  <si>
    <t>Cajamarca Average</t>
  </si>
  <si>
    <t>Castilla - La Mancha Sum</t>
  </si>
  <si>
    <t>Castilla - La Mancha Average</t>
  </si>
  <si>
    <t>YÃªn BÃ¡i Sum</t>
  </si>
  <si>
    <t>YÃªn BÃ¡i Average</t>
  </si>
  <si>
    <t>Ivano-Frankivsk oblast Sum</t>
  </si>
  <si>
    <t>Ivano-Frankivsk oblast Average</t>
  </si>
  <si>
    <t>North Region Sum</t>
  </si>
  <si>
    <t>North Region Average</t>
  </si>
  <si>
    <t>Santa Catarina Sum</t>
  </si>
  <si>
    <t>Santa Catarina Average</t>
  </si>
  <si>
    <t>South Chungcheong Sum</t>
  </si>
  <si>
    <t>South Chungcheong Average</t>
  </si>
  <si>
    <t>Central Visayas Sum</t>
  </si>
  <si>
    <t>Central Visayas Average</t>
  </si>
  <si>
    <t>Osun Sum</t>
  </si>
  <si>
    <t>Osun Average</t>
  </si>
  <si>
    <t>Khyber Pakhtoonkhwa Sum</t>
  </si>
  <si>
    <t>Khyber Pakhtoonkhwa Average</t>
  </si>
  <si>
    <t>Oregon Sum</t>
  </si>
  <si>
    <t>Oregon Average</t>
  </si>
  <si>
    <t>Piemonte Sum</t>
  </si>
  <si>
    <t>Piemonte Average</t>
  </si>
  <si>
    <t>Principado de Asturias Sum</t>
  </si>
  <si>
    <t>Principado de Asturias Average</t>
  </si>
  <si>
    <t>West Nusa Tenggara Sum</t>
  </si>
  <si>
    <t>West Nusa Tenggara Average</t>
  </si>
  <si>
    <t>Bangsamoro Sum</t>
  </si>
  <si>
    <t>Bangsamoro Average</t>
  </si>
  <si>
    <t>Bayern Sum</t>
  </si>
  <si>
    <t>Bayern Average</t>
  </si>
  <si>
    <t>Glamorgan Sum</t>
  </si>
  <si>
    <t>Glamorgan Average</t>
  </si>
  <si>
    <t>Lubuskie Sum</t>
  </si>
  <si>
    <t>Lubuskie Average</t>
  </si>
  <si>
    <t>Southeast Sulawesi Sum</t>
  </si>
  <si>
    <t>Southeast Sulawesi Average</t>
  </si>
  <si>
    <t>VÃ¤stra GÃ¶talands lÃ¤n Sum</t>
  </si>
  <si>
    <t>VÃ¤stra GÃ¶talands lÃ¤n Average</t>
  </si>
  <si>
    <t>Akwa Ibom Sum</t>
  </si>
  <si>
    <t>Akwa Ibom Average</t>
  </si>
  <si>
    <t>FATA Sum</t>
  </si>
  <si>
    <t>FATA Average</t>
  </si>
  <si>
    <t>Valle del Cauca Sum</t>
  </si>
  <si>
    <t>Valle del Cauca Average</t>
  </si>
  <si>
    <t>Vorarlberg Sum</t>
  </si>
  <si>
    <t>Vorarlberg Average</t>
  </si>
  <si>
    <t>Australian Capital Territory Sum</t>
  </si>
  <si>
    <t>Australian Capital Territory Average</t>
  </si>
  <si>
    <t>Bretagne Sum</t>
  </si>
  <si>
    <t>Bretagne Average</t>
  </si>
  <si>
    <t>DÅngbÄ›i Sum</t>
  </si>
  <si>
    <t>DÅngbÄ›i Average</t>
  </si>
  <si>
    <t>Davao Region Sum</t>
  </si>
  <si>
    <t>Davao Region Average</t>
  </si>
  <si>
    <t>Ross-shire Sum</t>
  </si>
  <si>
    <t>Ross-shire Average</t>
  </si>
  <si>
    <t>Valle d'Aosta Sum</t>
  </si>
  <si>
    <t>Valle d'Aosta Average</t>
  </si>
  <si>
    <t>Colorado Sum</t>
  </si>
  <si>
    <t>Colorado Average</t>
  </si>
  <si>
    <t>Jalisco Sum</t>
  </si>
  <si>
    <t>Jalisco Average</t>
  </si>
  <si>
    <t>Munster Sum</t>
  </si>
  <si>
    <t>Munster Average</t>
  </si>
  <si>
    <t>North Gyeongsang Sum</t>
  </si>
  <si>
    <t>North Gyeongsang Average</t>
  </si>
  <si>
    <t>North Island Sum</t>
  </si>
  <si>
    <t>North Island Average</t>
  </si>
  <si>
    <t>Overijssel Sum</t>
  </si>
  <si>
    <t>Overijssel Average</t>
  </si>
  <si>
    <t>Schleswig-Holstein Sum</t>
  </si>
  <si>
    <t>Schleswig-Holstein Average</t>
  </si>
  <si>
    <t>Azad Kashmir Sum</t>
  </si>
  <si>
    <t>Azad Kashmir Average</t>
  </si>
  <si>
    <t>Brussels Hoofdstedelijk Gewest Sum</t>
  </si>
  <si>
    <t>Brussels Hoofdstedelijk Gewest Average</t>
  </si>
  <si>
    <t>Connacht Sum</t>
  </si>
  <si>
    <t>Connacht Average</t>
  </si>
  <si>
    <t>Free State Sum</t>
  </si>
  <si>
    <t>Free State Average</t>
  </si>
  <si>
    <t>Kocaeli Sum</t>
  </si>
  <si>
    <t>Kocaeli Average</t>
  </si>
  <si>
    <t>Ulster Sum</t>
  </si>
  <si>
    <t>Ulster Average</t>
  </si>
  <si>
    <t>Vlaams-Brabant Sum</t>
  </si>
  <si>
    <t>Vlaams-Brabant Average</t>
  </si>
  <si>
    <t>Lower Austria Sum</t>
  </si>
  <si>
    <t>Lower Austria Average</t>
  </si>
  <si>
    <t>Gilgit Baltistan Sum</t>
  </si>
  <si>
    <t>Gilgit Baltistan Average</t>
  </si>
  <si>
    <t>Manitoba Sum</t>
  </si>
  <si>
    <t>Manitoba Average</t>
  </si>
  <si>
    <t>Renfrewshire Sum</t>
  </si>
  <si>
    <t>Renfrewshire Average</t>
  </si>
  <si>
    <t>Yukon Sum</t>
  </si>
  <si>
    <t>Yukon Average</t>
  </si>
  <si>
    <t>Benue Sum</t>
  </si>
  <si>
    <t>Benue Average</t>
  </si>
  <si>
    <t>Hatay Sum</t>
  </si>
  <si>
    <t>Hatay Average</t>
  </si>
  <si>
    <t>Jeju Sum</t>
  </si>
  <si>
    <t>Jeju Average</t>
  </si>
  <si>
    <t>Moscow Oblast Sum</t>
  </si>
  <si>
    <t>Moscow Oblast Average</t>
  </si>
  <si>
    <t>Punjab Sum</t>
  </si>
  <si>
    <t>Punjab Average</t>
  </si>
  <si>
    <t>Andaman and Nicobar Islands Sum</t>
  </si>
  <si>
    <t>Andaman and Nicobar Islands Average</t>
  </si>
  <si>
    <t>Minas Gerais Sum</t>
  </si>
  <si>
    <t>Minas Gerais Average</t>
  </si>
  <si>
    <t>Puno Sum</t>
  </si>
  <si>
    <t>Puno Average</t>
  </si>
  <si>
    <t>Sonora Sum</t>
  </si>
  <si>
    <t>Sonora Average</t>
  </si>
  <si>
    <t>South Island Sum</t>
  </si>
  <si>
    <t>South Island Average</t>
  </si>
  <si>
    <t>Drenthe Sum</t>
  </si>
  <si>
    <t>Drenthe Average</t>
  </si>
  <si>
    <t>East Region Sum</t>
  </si>
  <si>
    <t>East Region Average</t>
  </si>
  <si>
    <t>MÃ¸re og Romsdal Sum</t>
  </si>
  <si>
    <t>MÃ¸re og Romsdal Average</t>
  </si>
  <si>
    <t>Manipur Sum</t>
  </si>
  <si>
    <t>Manipur Average</t>
  </si>
  <si>
    <t>Podkarpackie Sum</t>
  </si>
  <si>
    <t>Podkarpackie Average</t>
  </si>
  <si>
    <t>Putumayo Sum</t>
  </si>
  <si>
    <t>Putumayo Average</t>
  </si>
  <si>
    <t>ValparaÃ­so Sum</t>
  </si>
  <si>
    <t>ValparaÃ­so Average</t>
  </si>
  <si>
    <t>Viken Sum</t>
  </si>
  <si>
    <t>Viken Average</t>
  </si>
  <si>
    <t>HÃ  Ná»™i Sum</t>
  </si>
  <si>
    <t>HÃ  Ná»™i Average</t>
  </si>
  <si>
    <t>Los RÃ­os Sum</t>
  </si>
  <si>
    <t>Los RÃ­os Average</t>
  </si>
  <si>
    <t>Orenburg Oblast Sum</t>
  </si>
  <si>
    <t>Orenburg Oblast Average</t>
  </si>
  <si>
    <t>PhÃº YÃªn Sum</t>
  </si>
  <si>
    <t>PhÃº YÃªn Average</t>
  </si>
  <si>
    <t>Sutherland Sum</t>
  </si>
  <si>
    <t>Sutherland Average</t>
  </si>
  <si>
    <t>JunÃ­n Sum</t>
  </si>
  <si>
    <t>JunÃ­n Average</t>
  </si>
  <si>
    <t>La Libertad Sum</t>
  </si>
  <si>
    <t>La Libertad Average</t>
  </si>
  <si>
    <t>North Chungcheong Sum</t>
  </si>
  <si>
    <t>North Chungcheong Average</t>
  </si>
  <si>
    <t>Oaxaca Sum</t>
  </si>
  <si>
    <t>Oaxaca Average</t>
  </si>
  <si>
    <t>Rheinland-Pfalz Sum</t>
  </si>
  <si>
    <t>Rheinland-Pfalz Average</t>
  </si>
  <si>
    <t>Western Australia Sum</t>
  </si>
  <si>
    <t>Western Australia Average</t>
  </si>
  <si>
    <t>Denbighshire Sum</t>
  </si>
  <si>
    <t>Denbighshire Average</t>
  </si>
  <si>
    <t>Gyeonggi Sum</t>
  </si>
  <si>
    <t>Gyeonggi Average</t>
  </si>
  <si>
    <t>Kentucky Sum</t>
  </si>
  <si>
    <t>Kentucky Average</t>
  </si>
  <si>
    <t>Mexico City Sum</t>
  </si>
  <si>
    <t>Mexico City Average</t>
  </si>
  <si>
    <t>Rutland Sum</t>
  </si>
  <si>
    <t>Rutland Average</t>
  </si>
  <si>
    <t>XÄ«bÄ›i Sum</t>
  </si>
  <si>
    <t>XÄ«bÄ›i Average</t>
  </si>
  <si>
    <t>Berlin Sum</t>
  </si>
  <si>
    <t>Berlin Average</t>
  </si>
  <si>
    <t>Cartago Sum</t>
  </si>
  <si>
    <t>Cartago Average</t>
  </si>
  <si>
    <t>Central Region Sum</t>
  </si>
  <si>
    <t>Central Region Average</t>
  </si>
  <si>
    <t>Galicia Sum</t>
  </si>
  <si>
    <t>Galicia Average</t>
  </si>
  <si>
    <t>Kincardineshire Sum</t>
  </si>
  <si>
    <t>Kincardineshire Average</t>
  </si>
  <si>
    <t>Nunavut Sum</t>
  </si>
  <si>
    <t>Nunavut Average</t>
  </si>
  <si>
    <t>Lima Sum</t>
  </si>
  <si>
    <t>Lima Average</t>
  </si>
  <si>
    <t>Maharastra Sum</t>
  </si>
  <si>
    <t>Maharastra Average</t>
  </si>
  <si>
    <t>Sachsen-Anhalt Sum</t>
  </si>
  <si>
    <t>Sachsen-Anhalt Average</t>
  </si>
  <si>
    <t>Zeeland Sum</t>
  </si>
  <si>
    <t>Zeeland Average</t>
  </si>
  <si>
    <t>Antofagasta Sum</t>
  </si>
  <si>
    <t>Antofagasta Average</t>
  </si>
  <si>
    <t>Banffshire Sum</t>
  </si>
  <si>
    <t>Banffshire Average</t>
  </si>
  <si>
    <t>Salzburg Sum</t>
  </si>
  <si>
    <t>Salzburg Average</t>
  </si>
  <si>
    <t>Utrecht Sum</t>
  </si>
  <si>
    <t>Utrecht Average</t>
  </si>
  <si>
    <t>Leicestershire Sum</t>
  </si>
  <si>
    <t>Leicestershire Average</t>
  </si>
  <si>
    <t>Newfoundland and Labrador Sum</t>
  </si>
  <si>
    <t>Newfoundland and Labrador Average</t>
  </si>
  <si>
    <t>Northwest Territories Sum</t>
  </si>
  <si>
    <t>Northwest Territories Average</t>
  </si>
  <si>
    <t>Nuevo LeÃ³n Sum</t>
  </si>
  <si>
    <t>Nuevo LeÃ³n Average</t>
  </si>
  <si>
    <t>Pernambuco Sum</t>
  </si>
  <si>
    <t>Pernambuco Average</t>
  </si>
  <si>
    <t>Soccsksargen Sum</t>
  </si>
  <si>
    <t>Soccsksargen Average</t>
  </si>
  <si>
    <t>Southwestern Tagalog Region Sum</t>
  </si>
  <si>
    <t>Southwestern Tagalog Region Average</t>
  </si>
  <si>
    <t>Alajuela Sum</t>
  </si>
  <si>
    <t>Alajuela Average</t>
  </si>
  <si>
    <t>Central Kalimantan Sum</t>
  </si>
  <si>
    <t>Central Kalimantan Average</t>
  </si>
  <si>
    <t>Missouri Sum</t>
  </si>
  <si>
    <t>Missouri Average</t>
  </si>
  <si>
    <t>Oost-Vlaanderen Sum</t>
  </si>
  <si>
    <t>Oost-Vlaanderen Average</t>
  </si>
  <si>
    <t>Queensland Sum</t>
  </si>
  <si>
    <t>Queensland Average</t>
  </si>
  <si>
    <t>Special Region of Yogyakarta Sum</t>
  </si>
  <si>
    <t>Special Region of Yogyakarta Average</t>
  </si>
  <si>
    <t>Euskadi Sum</t>
  </si>
  <si>
    <t>Euskadi Average</t>
  </si>
  <si>
    <t>Noord Brabant Sum</t>
  </si>
  <si>
    <t>Noord Brabant Average</t>
  </si>
  <si>
    <t>QuindÃ­o Sum</t>
  </si>
  <si>
    <t>QuindÃ­o Average</t>
  </si>
  <si>
    <t>West-Vlaanderen Sum</t>
  </si>
  <si>
    <t>West-Vlaanderen Average</t>
  </si>
  <si>
    <t>Zuid Holland Sum</t>
  </si>
  <si>
    <t>Zuid Holland Average</t>
  </si>
  <si>
    <t>Chhattisgarh Sum</t>
  </si>
  <si>
    <t>Chhattisgarh Average</t>
  </si>
  <si>
    <t>Jigawa Sum</t>
  </si>
  <si>
    <t>Jigawa Average</t>
  </si>
  <si>
    <t>Ä°zmir Sum</t>
  </si>
  <si>
    <t>Ä°zmir Average</t>
  </si>
  <si>
    <t>Ancash Sum</t>
  </si>
  <si>
    <t>Ancash Average</t>
  </si>
  <si>
    <t>Mpumalanga Sum</t>
  </si>
  <si>
    <t>Mpumalanga Average</t>
  </si>
  <si>
    <t>Puntarenas Sum</t>
  </si>
  <si>
    <t>Puntarenas Average</t>
  </si>
  <si>
    <t>Sumy oblast Sum</t>
  </si>
  <si>
    <t>Sumy oblast Average</t>
  </si>
  <si>
    <t>Vinnytsia oblast Sum</t>
  </si>
  <si>
    <t>Vinnytsia oblast Average</t>
  </si>
  <si>
    <t>Dalarnas lÃ¤n Sum</t>
  </si>
  <si>
    <t>Dalarnas lÃ¤n Average</t>
  </si>
  <si>
    <t>Franche-ComtÃ© Sum</t>
  </si>
  <si>
    <t>Franche-ComtÃ© Average</t>
  </si>
  <si>
    <t>Lombardia Sum</t>
  </si>
  <si>
    <t>Lombardia Average</t>
  </si>
  <si>
    <t>Toscana Sum</t>
  </si>
  <si>
    <t>Toscana Average</t>
  </si>
  <si>
    <t>Friesland Sum</t>
  </si>
  <si>
    <t>Friesland Average</t>
  </si>
  <si>
    <t>Imo Sum</t>
  </si>
  <si>
    <t>Imo Average</t>
  </si>
  <si>
    <t>Katsina Sum</t>
  </si>
  <si>
    <t>Katsina Average</t>
  </si>
  <si>
    <t>Sicilia Sum</t>
  </si>
  <si>
    <t>Sicilia Average</t>
  </si>
  <si>
    <t>Australia Total</t>
  </si>
  <si>
    <t>Austria Total</t>
  </si>
  <si>
    <t>Belgium Total</t>
  </si>
  <si>
    <t>Brazil Total</t>
  </si>
  <si>
    <t>Canada Total</t>
  </si>
  <si>
    <t>Chile Total</t>
  </si>
  <si>
    <t>China Total</t>
  </si>
  <si>
    <t>Colombia Total</t>
  </si>
  <si>
    <t>Costa Rica Total</t>
  </si>
  <si>
    <t>France Total</t>
  </si>
  <si>
    <t>Germany Total</t>
  </si>
  <si>
    <t>India Total</t>
  </si>
  <si>
    <t>Indonesia Total</t>
  </si>
  <si>
    <t>Ireland Total</t>
  </si>
  <si>
    <t>Italy Total</t>
  </si>
  <si>
    <t>Mexico Total</t>
  </si>
  <si>
    <t>Netherlands Total</t>
  </si>
  <si>
    <t>New Zealand Total</t>
  </si>
  <si>
    <t>Nigeria Total</t>
  </si>
  <si>
    <t>Norway Total</t>
  </si>
  <si>
    <t>Pakistan Total</t>
  </si>
  <si>
    <t>Peru Total</t>
  </si>
  <si>
    <t>Philippines Total</t>
  </si>
  <si>
    <t>Poland Total</t>
  </si>
  <si>
    <t>Russian Federation Total</t>
  </si>
  <si>
    <t>Singapore Total</t>
  </si>
  <si>
    <t>South Africa Total</t>
  </si>
  <si>
    <t>South Korea Total</t>
  </si>
  <si>
    <t>Spain Total</t>
  </si>
  <si>
    <t>Sweden Total</t>
  </si>
  <si>
    <t>Turkey Total</t>
  </si>
  <si>
    <t>Ukraine Total</t>
  </si>
  <si>
    <t>United Kingdom Total</t>
  </si>
  <si>
    <t>United States Total</t>
  </si>
  <si>
    <t>Vietnam Total</t>
  </si>
  <si>
    <t>2023 Count</t>
  </si>
  <si>
    <t>2023 Max</t>
  </si>
  <si>
    <t>Qtr3 Total</t>
  </si>
  <si>
    <t>Qtr2 Total</t>
  </si>
  <si>
    <t>Aug Total</t>
  </si>
  <si>
    <t>Jul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</si>
</sst>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kr&quot;_-;\-* #,##0.00\ &quot;kr&quot;_-;_-* &quot;-&quot;??\ &quot;kr&quot;_-;_-@_-"/>
    <numFmt numFmtId="43" formatCode="_-* #,##0.00_-;\-* #,##0.00_-;_-* &quot;-&quot;??_-;_-@_-"/>
    <numFmt numFmtId="164" formatCode="_-[$€-2]\ * #,##0.00_-;\-[$€-2]\ * #,##0.00_-;_-[$€-2]\ * &quot;-&quot;??_-;_-@_-"/>
    <numFmt numFmtId="165" formatCode="0.0000000000000000000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1">
    <xf numFmtId="0" fontId="0" fillId="0" borderId="0" xfId="0"/>
    <xf numFmtId="14" fontId="0" fillId="0" borderId="0" xfId="0" applyNumberFormat="1"/>
    <xf numFmtId="164" fontId="0" fillId="0" borderId="0" xfId="2" applyNumberFormat="1" applyFont="1"/>
    <xf numFmtId="43" fontId="0" fillId="0" borderId="0" xfId="1" applyFont="1"/>
    <xf numFmtId="4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0" fontId="0" fillId="0" borderId="0" xfId="0" applyNumberFormat="1"/>
    <xf numFmtId="165" fontId="0" fillId="0" borderId="0" xfId="0" applyNumberFormat="1"/>
    <xf numFmtId="164" fontId="0" fillId="0" borderId="0" xfId="0" applyNumberFormat="1"/>
  </cellXfs>
  <cellStyles count="3">
    <cellStyle name="Comma" xfId="1" builtinId="3"/>
    <cellStyle name="Currency" xfId="2" builtinId="4"/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9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[$€-2]\ * #,##0.00_-;\-[$€-2]\ * #,##0.00_-;_-[$€-2]\ * &quot;-&quot;??_-;_-@_-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nne" refreshedDate="45394.415245370372" createdVersion="8" refreshedVersion="8" minRefreshableVersion="3" recordCount="200" xr:uid="{6C1AF311-51C4-4851-9962-FEE21A5E33E2}">
  <cacheSource type="worksheet">
    <worksheetSource name="tableSampleData"/>
  </cacheSource>
  <cacheFields count="16">
    <cacheField name="Name" numFmtId="0">
      <sharedItems count="200">
        <s v="Marsden Peterson"/>
        <s v="Craig Shaffer"/>
        <s v="Christopher Holt"/>
        <s v="Rhiannon Vazquez"/>
        <s v="Brody Cunningham"/>
        <s v="Sasha Delgado"/>
        <s v="Lacy Pitts"/>
        <s v="Christine Morrison"/>
        <s v="Dennis Murray"/>
        <s v="Brooke Buck"/>
        <s v="Barclay Christian"/>
        <s v="Drew Townsend"/>
        <s v="Laith Campbell"/>
        <s v="Ifeoma Larson"/>
        <s v="Reuben Mooney"/>
        <s v="Kim Osborne"/>
        <s v="Leilani Mayer"/>
        <s v="Kevyn Kent"/>
        <s v="Armand Wall"/>
        <s v="Tamekah Huff"/>
        <s v="Sybil Andrews"/>
        <s v="Lars Gilliam"/>
        <s v="Grace Skinner"/>
        <s v="Yuri Justice"/>
        <s v="Veronica Brewer"/>
        <s v="Cody Velez"/>
        <s v="Jada Poole"/>
        <s v="Yuli Roman"/>
        <s v="Caesar Schwartz"/>
        <s v="Maya Lowery"/>
        <s v="Damon David"/>
        <s v="Kerry Burt"/>
        <s v="Stone Molina"/>
        <s v="Talon Roach"/>
        <s v="Nasim King"/>
        <s v="Oren Sweeney"/>
        <s v="Idola Bennett"/>
        <s v="Akeem Park"/>
        <s v="Lois Lester"/>
        <s v="Stella Webb"/>
        <s v="Rana Ratliff"/>
        <s v="Holly Coffey"/>
        <s v="Sydnee Hyde"/>
        <s v="Jessica Barrett"/>
        <s v="Xenos Floyd"/>
        <s v="Neil Jones"/>
        <s v="Ray Zimmerman"/>
        <s v="Haviva Walsh"/>
        <s v="Silas Talley"/>
        <s v="Candice Sampson"/>
        <s v="Bell Hatfield"/>
        <s v="Lila Blankenship"/>
        <s v="Ora Wiggins"/>
        <s v="Leslie Keller"/>
        <s v="Alexandra Soto"/>
        <s v="Scarlett Jordan"/>
        <s v="Darryl Mcguire"/>
        <s v="Vincent Sims"/>
        <s v="Lucian Estrada"/>
        <s v="Odysseus Mcpherson"/>
        <s v="Adena Gibson"/>
        <s v="Kirby Holman"/>
        <s v="Dolan Whitley"/>
        <s v="Cynthia Everett"/>
        <s v="Xanthus Shaffer"/>
        <s v="Nigel Aguilar"/>
        <s v="Steven Snow"/>
        <s v="Lawrence Case"/>
        <s v="Quamar Williams"/>
        <s v="Plato Mcmahon"/>
        <s v="Dean Wilkins"/>
        <s v="Wade Perez"/>
        <s v="Raven Sargent"/>
        <s v="Kylynn Dale"/>
        <s v="Jane Turner"/>
        <s v="Pascale Armstrong"/>
        <s v="Dale Hester"/>
        <s v="Tad Small"/>
        <s v="Kristen Rich"/>
        <s v="Xavier Potter"/>
        <s v="Lavinia Ferrell"/>
        <s v="Josephine Owens"/>
        <s v="Thor Noble"/>
        <s v="Ignacia Davidson"/>
        <s v="Macy Crane"/>
        <s v="Demetrius Mclaughlin"/>
        <s v="Sydnee Morse"/>
        <s v="Kevin Cooley"/>
        <s v="Hillary Livingston"/>
        <s v="Tarik Taylor"/>
        <s v="Orla Randolph"/>
        <s v="Amity Macias"/>
        <s v="Kirsten Odom"/>
        <s v="Adrienne Justice"/>
        <s v="Althea Todd"/>
        <s v="Kevin Boone"/>
        <s v="Dexter Avila"/>
        <s v="Joel Miles"/>
        <s v="Iola Ratliff"/>
        <s v="Dean Mooney"/>
        <s v="Griffith Stokes"/>
        <s v="Demetrius Summers"/>
        <s v="Delilah Blanchard"/>
        <s v="Jana Talley"/>
        <s v="Kiayada Sheppard"/>
        <s v="Lance Sampson"/>
        <s v="Curran Snow"/>
        <s v="Cleo Castaneda"/>
        <s v="Salvador Owens"/>
        <s v="Ila Holder"/>
        <s v="Dennis Nixon"/>
        <s v="Cain Cunningham"/>
        <s v="Malcolm Fitzgerald"/>
        <s v="Irene Love"/>
        <s v="Georgia Whitaker"/>
        <s v="Nomlanga Quinn"/>
        <s v="Malik Watkins"/>
        <s v="Rowan Bowman"/>
        <s v="Timothy Weeks"/>
        <s v="Melissa Phelps"/>
        <s v="Octavius Riley"/>
        <s v="Ori Donaldson"/>
        <s v="Brandon Montoya"/>
        <s v="Anne Boyle"/>
        <s v="Jasper Rodriguez"/>
        <s v="Cameron Talley"/>
        <s v="Chase Page"/>
        <s v="Russell Goodwin"/>
        <s v="Moses Williamson"/>
        <s v="Quinn Alexander"/>
        <s v="Rylee Beard"/>
        <s v="Kelly Austin"/>
        <s v="Zorita Rivas"/>
        <s v="Geoffrey Fleming"/>
        <s v="Regina Stokes"/>
        <s v="Xantha Michael"/>
        <s v="Stephanie Berg"/>
        <s v="Arsenio Farley"/>
        <s v="Mona Sawyer"/>
        <s v="Deanna Colon"/>
        <s v="Barrett William"/>
        <s v="Tashya Reeves"/>
        <s v="Evan Baker"/>
        <s v="Aaron Horton"/>
        <s v="Idona Austin"/>
        <s v="Aladdin Conrad"/>
        <s v="Renee Barron"/>
        <s v="Natalie Burt"/>
        <s v="Fitzgerald Case"/>
        <s v="Colin Lambert"/>
        <s v="Keely Spears"/>
        <s v="Hayes Paul"/>
        <s v="Dale Holcomb"/>
        <s v="Tamara Juarez"/>
        <s v="Kasper Noel"/>
        <s v="Francesca Pratt"/>
        <s v="Gray Goodman"/>
        <s v="Noah Boone"/>
        <s v="Nelle Moon"/>
        <s v="Uma Albert"/>
        <s v="Raya Rivers"/>
        <s v="Yvette Mcgee"/>
        <s v="Harriet Mejia"/>
        <s v="Yuli Fowler"/>
        <s v="Kenyon Taylor"/>
        <s v="Heidi Callahan"/>
        <s v="Shelby Morrow"/>
        <s v="Hadley Dunn"/>
        <s v="Peter Haney"/>
        <s v="Xena Ford"/>
        <s v="Kelly Stark"/>
        <s v="Madonna Mullen"/>
        <s v="Emery Barnes"/>
        <s v="Vanna Owen"/>
        <s v="Avram Ewing"/>
        <s v="Karyn Blevins"/>
        <s v="Zachery Webster"/>
        <s v="Illiana Gregory"/>
        <s v="Dennis Battle"/>
        <s v="Randall Doyle"/>
        <s v="Isaac Potts"/>
        <s v="Kiara Higgins"/>
        <s v="Ursa Solomon"/>
        <s v="Carter Willis"/>
        <s v="Demetrius Porter"/>
        <s v="Aaron Sims"/>
        <s v="Hakeem Pugh"/>
        <s v="Reagan Coffey"/>
        <s v="Amal Snow"/>
        <s v="Nola Schmidt"/>
        <s v="Alec Douglas"/>
        <s v="Clio Mccullough"/>
        <s v="Chantale Woodard"/>
        <s v="Graiden Lancaster"/>
        <s v="Malik Bird"/>
        <s v="Price Padilla"/>
        <s v="Emerson Deleon"/>
        <s v="Katelyn Harris"/>
        <s v="Walter Suarez"/>
        <s v="Alexis Meyers"/>
      </sharedItems>
    </cacheField>
    <cacheField name="Phone" numFmtId="0">
      <sharedItems/>
    </cacheField>
    <cacheField name="Email" numFmtId="0">
      <sharedItems/>
    </cacheField>
    <cacheField name="PostalZip" numFmtId="49">
      <sharedItems containsMixedTypes="1" containsNumber="1" containsInteger="1" minValue="805" maxValue="995818" count="200">
        <n v="84412"/>
        <n v="149260"/>
        <n v="61326"/>
        <n v="8012"/>
        <n v="66315"/>
        <n v="28572"/>
        <n v="17201"/>
        <n v="681748"/>
        <n v="3398"/>
        <n v="65453"/>
        <s v="23049-53356"/>
        <s v="5837-0931"/>
        <n v="9232"/>
        <n v="674851"/>
        <n v="44456"/>
        <s v="V6J 4M2"/>
        <s v="58763-178"/>
        <n v="41418"/>
        <s v="25-48"/>
        <s v="8431-5431"/>
        <s v="96-27"/>
        <n v="2533"/>
        <n v="188283"/>
        <n v="1514"/>
        <n v="757528"/>
        <s v="I0Q 5BQ"/>
        <n v="43936"/>
        <s v="71-138"/>
        <s v="MN3Q 5FU"/>
        <n v="35146"/>
        <n v="7277"/>
        <n v="3371"/>
        <n v="511182"/>
        <n v="46865"/>
        <n v="214220"/>
        <n v="346265"/>
        <n v="278878"/>
        <n v="5768"/>
        <n v="259606"/>
        <n v="31533"/>
        <n v="97472"/>
        <n v="857886"/>
        <n v="857782"/>
        <n v="104565"/>
        <s v="KB7S 9EG"/>
        <n v="36613"/>
        <n v="657562"/>
        <s v="3536-3749"/>
        <s v="28146-21578"/>
        <n v="249915"/>
        <n v="24063"/>
        <s v="3843 CH"/>
        <n v="6428"/>
        <s v="V7E 2X9"/>
        <n v="918774"/>
        <s v="7396-2998"/>
        <n v="456222"/>
        <n v="161590"/>
        <s v="34703-82394"/>
        <n v="6061"/>
        <n v="421323"/>
        <n v="31152"/>
        <n v="805"/>
        <s v="C1D 5GZ"/>
        <n v="864294"/>
        <n v="572621"/>
        <n v="94599"/>
        <s v="M2T 8R8"/>
        <n v="7374"/>
        <s v="52671-891"/>
        <n v="2251"/>
        <n v="16312"/>
        <n v="345177"/>
        <s v="1228 HV"/>
        <s v="N6W 2Z4"/>
        <s v="93-557"/>
        <s v="63-77"/>
        <n v="36744"/>
        <n v="7893"/>
        <n v="275243"/>
        <s v="58-554"/>
        <s v="1473-5341"/>
        <n v="66827"/>
        <n v="367861"/>
        <s v="7331-0571"/>
        <n v="462506"/>
        <n v="4498"/>
        <s v="14184-88492"/>
        <n v="33461"/>
        <n v="10212"/>
        <n v="50554"/>
        <n v="951658"/>
        <n v="6157"/>
        <n v="105817"/>
        <n v="7168"/>
        <n v="2573"/>
        <n v="3625"/>
        <n v="161758"/>
        <n v="44215"/>
        <n v="10676"/>
        <s v="5455-8197"/>
        <s v="S4Y 8B2"/>
        <n v="1817"/>
        <n v="42618"/>
        <n v="8839"/>
        <n v="146442"/>
        <n v="16377"/>
        <n v="4992"/>
        <n v="50804"/>
        <n v="618376"/>
        <n v="397632"/>
        <n v="7573"/>
        <n v="981648"/>
        <n v="30403"/>
        <n v="41136"/>
        <n v="5855"/>
        <n v="442405"/>
        <s v="75745-221"/>
        <n v="6138"/>
        <n v="7675"/>
        <n v="345166"/>
        <n v="995818"/>
        <n v="2723"/>
        <n v="30238"/>
        <n v="2647"/>
        <n v="83029"/>
        <n v="44280"/>
        <s v="6582-1818"/>
        <n v="2858"/>
        <s v="R4R 2L4"/>
        <n v="53962"/>
        <n v="3452"/>
        <s v="74715-65959"/>
        <n v="4573"/>
        <n v="71129"/>
        <n v="24471"/>
        <s v="58561-615"/>
        <n v="2472"/>
        <n v="1036"/>
        <n v="491326"/>
        <n v="7645"/>
        <n v="36395"/>
        <n v="92580"/>
        <s v="93718-58868"/>
        <n v="77682"/>
        <s v="T0X 5P9"/>
        <n v="6151"/>
        <n v="368945"/>
        <n v="778848"/>
        <n v="19783"/>
        <n v="592777"/>
        <n v="7478"/>
        <n v="312151"/>
        <n v="5130"/>
        <n v="335344"/>
        <s v="1780-5507"/>
        <s v="52-141"/>
        <n v="8883"/>
        <n v="955922"/>
        <n v="187421"/>
        <n v="268928"/>
        <n v="324463"/>
        <n v="3517"/>
        <n v="172431"/>
        <n v="842155"/>
        <n v="373224"/>
        <n v="9090"/>
        <n v="47138"/>
        <n v="514485"/>
        <n v="2397"/>
        <n v="13874"/>
        <n v="30887"/>
        <s v="46-66"/>
        <n v="31204"/>
        <n v="8417"/>
        <n v="272554"/>
        <n v="9272"/>
        <n v="15788"/>
        <n v="98651"/>
        <n v="26384"/>
        <n v="48802"/>
        <n v="32219"/>
        <s v="I5L 2L5"/>
        <s v="46615-76480"/>
        <n v="8157"/>
        <n v="9411"/>
        <n v="29163"/>
        <n v="968635"/>
        <s v="7499-6433"/>
        <n v="35735"/>
        <n v="14288"/>
        <n v="24213"/>
        <n v="787364"/>
        <n v="27808"/>
        <n v="67413"/>
        <n v="694943"/>
        <n v="23958"/>
        <n v="8728"/>
        <n v="3522"/>
        <n v="22627"/>
      </sharedItems>
    </cacheField>
    <cacheField name="Region" numFmtId="0">
      <sharedItems count="164">
        <s v="Brussels Hoofdstedelijk Gewest"/>
        <s v="Ancash"/>
        <s v="Rutland"/>
        <s v="Osun"/>
        <s v="Sachsen-Anhalt"/>
        <s v="Piemonte"/>
        <s v="Melilla"/>
        <s v="Orenburg Oblast"/>
        <s v="San JosÃ©"/>
        <s v="Drenthe"/>
        <s v="Gilgit Baltistan"/>
        <s v="Pskov Oblast"/>
        <s v="Puglia"/>
        <s v="Lazio"/>
        <s v="Salzburg"/>
        <s v="East Region"/>
        <s v="Friesland"/>
        <s v="VÃ¤stra GÃ¶talands lÃ¤n"/>
        <s v="La Libertad"/>
        <s v="Queensland"/>
        <s v="Sicilia"/>
        <s v="Guanacaste"/>
        <s v="Leicestershire"/>
        <s v="Connacht"/>
        <s v="Central Region"/>
        <s v="Khyber Pakhtoonkhwa"/>
        <s v="Imo"/>
        <s v="Chhattisgarh"/>
        <s v="Dalarnas lÃ¤n"/>
        <s v="Rogaland"/>
        <s v="Berlin"/>
        <s v="Cajamarca"/>
        <s v="Mexico City"/>
        <s v="Manipur"/>
        <s v="Western Australia"/>
        <s v="Kincardineshire"/>
        <s v="New Brunswick"/>
        <s v="Banffshire"/>
        <s v="Overijssel"/>
        <s v="Clackmannanshire"/>
        <s v="Alberta"/>
        <s v="Davao Region"/>
        <s v="Gangwon"/>
        <s v="ValparaÃ­so"/>
        <s v="Ulster"/>
        <s v="Akwa Ibom"/>
        <s v="North Region"/>
        <s v="Utrecht"/>
        <s v="Tambov Oblast"/>
        <s v="South Island"/>
        <s v="PhÃº YÃªn"/>
        <s v="Cartago"/>
        <s v="Mpumalanga"/>
        <s v="Uttarakhand"/>
        <s v="South Chungcheong"/>
        <s v="Lima"/>
        <s v="QuindÃ­o"/>
        <s v="Western Visayas"/>
        <s v="Santa Catarina"/>
        <s v="Oaxaca"/>
        <s v="Euskadi"/>
        <s v="Lombardia"/>
        <s v="Ninh Thuáº­n"/>
        <s v="Ä°zmir"/>
        <s v="Zuid Holland"/>
        <s v="Rheinland-Pfalz"/>
        <s v="Limpopo"/>
        <s v="Kentucky"/>
        <s v="Los RÃ­os"/>
        <s v="Katsina"/>
        <s v="Munster"/>
        <s v="Missouri"/>
        <s v="Moscow Oblast"/>
        <s v="Special Region of Yogyakarta"/>
        <s v="Colorado"/>
        <s v="Hatay"/>
        <s v="Central Visayas"/>
        <s v="Los Lagos"/>
        <s v="Valle del Cauca"/>
        <s v="Principado de Asturias"/>
        <s v="Vorarlberg"/>
        <s v="Oost-Vlaanderen"/>
        <s v="Jigawa"/>
        <s v="Nunavut"/>
        <s v="Kujawsko-pomorskie"/>
        <s v="Vinnytsia oblast"/>
        <s v="Gyeonggi"/>
        <s v="Yukon"/>
        <s v="Kocaeli"/>
        <s v="Sumy oblast"/>
        <s v="Pernambuco"/>
        <s v="Viken"/>
        <s v="Luxemburg"/>
        <s v="MÃ¸re og Romsdal"/>
        <s v="FATA"/>
        <s v="Central Kalimantan"/>
        <s v="North Island"/>
        <s v="Bretagne"/>
        <s v="Nuevo LeÃ³n"/>
        <s v="Putumayo"/>
        <s v="Luik"/>
        <s v="Western Cape"/>
        <s v="HuÃ¡bÄ›i"/>
        <s v="Puntarenas"/>
        <s v="Northwest Territories"/>
        <s v="Glamorgan"/>
        <s v="Gauteng"/>
        <s v="Bangsamoro"/>
        <s v="Lubuskie"/>
        <s v="Puno"/>
        <s v="Antofagasta"/>
        <s v="Manitoba"/>
        <s v="Free State"/>
        <s v="Valle d'Aosta"/>
        <s v="JunÃ­n"/>
        <s v="Southeast Sulawesi"/>
        <s v="Murmansk Oblast"/>
        <s v="HÃ  Ná»™i"/>
        <s v="Punjab"/>
        <s v="XÄ«bÄ›i"/>
        <s v="Minas Gerais"/>
        <s v="Newfoundland and Labrador"/>
        <s v="Leinster"/>
        <s v="Noord Brabant"/>
        <s v="Andaman and Nicobar Islands"/>
        <s v="Tasmania"/>
        <s v="DÅngbÄ›i"/>
        <s v="Soccsksargen"/>
        <s v="Kano"/>
        <s v="Lower Austria"/>
        <s v="Castilla - La Mancha"/>
        <s v="Troms og Finnmark"/>
        <s v="Zeeland"/>
        <s v="Jeju"/>
        <s v="Ross-shire"/>
        <s v="Sonora"/>
        <s v="Cambridgeshire"/>
        <s v="Podkarpackie"/>
        <s v="Australian Capital Territory"/>
        <s v="Vlaams-Brabant"/>
        <s v="Maharastra"/>
        <s v="Oregon"/>
        <s v="Báº¯c Giang"/>
        <s v="YÃªn BÃ¡i"/>
        <s v="MaranhÃ£o"/>
        <s v="Ivano-Frankivsk oblast"/>
        <s v="Denbighshire"/>
        <s v="North Gyeongsang"/>
        <s v="Toscana"/>
        <s v="Renfrewshire"/>
        <s v="West-Vlaanderen"/>
        <s v="Niedersachsen"/>
        <s v="Benue"/>
        <s v="Schleswig-Holstein"/>
        <s v="Jalisco"/>
        <s v="Alajuela"/>
        <s v="Bayern"/>
        <s v="Southwestern Tagalog Region"/>
        <s v="Galicia"/>
        <s v="Franche-ComtÃ©"/>
        <s v="Sutherland"/>
        <s v="West Nusa Tenggara"/>
        <s v="Azad Kashmir"/>
        <s v="North Chungcheong"/>
      </sharedItems>
    </cacheField>
    <cacheField name="Country" numFmtId="0">
      <sharedItems count="35">
        <s v="Netherlands"/>
        <s v="United Kingdom"/>
        <s v="Russian Federation"/>
        <s v="France"/>
        <s v="South Africa"/>
        <s v="Singapore"/>
        <s v="Austria"/>
        <s v="Philippines"/>
        <s v="Spain"/>
        <s v="Peru"/>
        <s v="Nigeria"/>
        <s v="Australia"/>
        <s v="Canada"/>
        <s v="South Korea"/>
        <s v="Vietnam"/>
        <s v="India"/>
        <s v="Poland"/>
        <s v="Sweden"/>
        <s v="Brazil"/>
        <s v="Ukraine"/>
        <s v="United States"/>
        <s v="Colombia"/>
        <s v="Italy"/>
        <s v="Ireland"/>
        <s v="Turkey"/>
        <s v="Indonesia"/>
        <s v="Pakistan"/>
        <s v="China"/>
        <s v="Costa Rica"/>
        <s v="Belgium"/>
        <s v="Norway"/>
        <s v="Chile"/>
        <s v="New Zealand"/>
        <s v="Germany"/>
        <s v="Mexico"/>
      </sharedItems>
    </cacheField>
    <cacheField name="Items" numFmtId="0">
      <sharedItems containsSemiMixedTypes="0" containsString="0" containsNumber="1" containsInteger="1" minValue="9" maxValue="499"/>
    </cacheField>
    <cacheField name="OrderValue" numFmtId="164">
      <sharedItems containsSemiMixedTypes="0" containsString="0" containsNumber="1" minValue="336.68" maxValue="89704.3"/>
    </cacheField>
    <cacheField name="IsValid" numFmtId="0">
      <sharedItems count="2">
        <b v="1"/>
        <b v="0"/>
      </sharedItems>
    </cacheField>
    <cacheField name="InvoiceDate" numFmtId="14">
      <sharedItems containsSemiMixedTypes="0" containsNonDate="0" containsDate="1" containsString="0" minDate="2020-04-17T00:00:00" maxDate="2025-04-05T00:00:00" count="186">
        <d v="2023-04-12T00:00:00"/>
        <d v="2022-04-12T00:00:00"/>
        <d v="2024-04-02T00:00:00"/>
        <d v="2020-11-25T00:00:00"/>
        <d v="2023-04-05T00:00:00"/>
        <d v="2022-11-19T00:00:00"/>
        <d v="2024-08-28T00:00:00"/>
        <d v="2020-11-06T00:00:00"/>
        <d v="2025-01-31T00:00:00"/>
        <d v="2022-02-14T00:00:00"/>
        <d v="2023-11-18T00:00:00"/>
        <d v="2022-04-20T00:00:00"/>
        <d v="2022-10-26T00:00:00"/>
        <d v="2024-07-13T00:00:00"/>
        <d v="2020-06-28T00:00:00"/>
        <d v="2024-05-21T00:00:00"/>
        <d v="2023-09-25T00:00:00"/>
        <d v="2020-07-04T00:00:00"/>
        <d v="2022-10-13T00:00:00"/>
        <d v="2025-02-24T00:00:00"/>
        <d v="2021-12-22T00:00:00"/>
        <d v="2021-09-25T00:00:00"/>
        <d v="2021-11-29T00:00:00"/>
        <d v="2020-12-29T00:00:00"/>
        <d v="2021-06-29T00:00:00"/>
        <d v="2023-02-02T00:00:00"/>
        <d v="2021-11-27T00:00:00"/>
        <d v="2022-01-27T00:00:00"/>
        <d v="2021-07-09T00:00:00"/>
        <d v="2022-06-09T00:00:00"/>
        <d v="2022-02-01T00:00:00"/>
        <d v="2024-10-23T00:00:00"/>
        <d v="2020-12-14T00:00:00"/>
        <d v="2021-04-15T00:00:00"/>
        <d v="2023-06-12T00:00:00"/>
        <d v="2024-07-17T00:00:00"/>
        <d v="2024-08-14T00:00:00"/>
        <d v="2022-05-25T00:00:00"/>
        <d v="2021-03-23T00:00:00"/>
        <d v="2021-04-08T00:00:00"/>
        <d v="2024-01-10T00:00:00"/>
        <d v="2023-01-29T00:00:00"/>
        <d v="2021-03-13T00:00:00"/>
        <d v="2025-02-15T00:00:00"/>
        <d v="2023-07-05T00:00:00"/>
        <d v="2023-09-30T00:00:00"/>
        <d v="2020-09-22T00:00:00"/>
        <d v="2020-09-10T00:00:00"/>
        <d v="2024-07-19T00:00:00"/>
        <d v="2023-12-09T00:00:00"/>
        <d v="2021-01-30T00:00:00"/>
        <d v="2021-09-02T00:00:00"/>
        <d v="2021-07-10T00:00:00"/>
        <d v="2021-10-25T00:00:00"/>
        <d v="2024-07-11T00:00:00"/>
        <d v="2025-04-04T00:00:00"/>
        <d v="2021-08-07T00:00:00"/>
        <d v="2023-10-13T00:00:00"/>
        <d v="2021-11-28T00:00:00"/>
        <d v="2020-10-01T00:00:00"/>
        <d v="2020-10-12T00:00:00"/>
        <d v="2022-09-21T00:00:00"/>
        <d v="2020-04-17T00:00:00"/>
        <d v="2020-04-19T00:00:00"/>
        <d v="2020-08-29T00:00:00"/>
        <d v="2024-07-24T00:00:00"/>
        <d v="2020-09-27T00:00:00"/>
        <d v="2021-07-18T00:00:00"/>
        <d v="2021-12-04T00:00:00"/>
        <d v="2023-10-14T00:00:00"/>
        <d v="2023-08-13T00:00:00"/>
        <d v="2021-10-26T00:00:00"/>
        <d v="2024-02-13T00:00:00"/>
        <d v="2022-11-13T00:00:00"/>
        <d v="2023-08-04T00:00:00"/>
        <d v="2023-05-08T00:00:00"/>
        <d v="2021-07-30T00:00:00"/>
        <d v="2024-03-12T00:00:00"/>
        <d v="2022-07-18T00:00:00"/>
        <d v="2023-08-25T00:00:00"/>
        <d v="2020-11-04T00:00:00"/>
        <d v="2020-11-01T00:00:00"/>
        <d v="2022-07-12T00:00:00"/>
        <d v="2023-03-01T00:00:00"/>
        <d v="2021-12-02T00:00:00"/>
        <d v="2024-06-24T00:00:00"/>
        <d v="2023-06-27T00:00:00"/>
        <d v="2023-10-12T00:00:00"/>
        <d v="2020-05-16T00:00:00"/>
        <d v="2021-01-29T00:00:00"/>
        <d v="2023-11-10T00:00:00"/>
        <d v="2023-05-03T00:00:00"/>
        <d v="2023-03-06T00:00:00"/>
        <d v="2024-01-14T00:00:00"/>
        <d v="2022-03-15T00:00:00"/>
        <d v="2023-11-08T00:00:00"/>
        <d v="2021-05-13T00:00:00"/>
        <d v="2024-05-31T00:00:00"/>
        <d v="2024-06-08T00:00:00"/>
        <d v="2021-10-02T00:00:00"/>
        <d v="2024-02-05T00:00:00"/>
        <d v="2021-01-22T00:00:00"/>
        <d v="2024-05-18T00:00:00"/>
        <d v="2022-08-12T00:00:00"/>
        <d v="2022-03-05T00:00:00"/>
        <d v="2024-05-02T00:00:00"/>
        <d v="2023-01-07T00:00:00"/>
        <d v="2020-06-20T00:00:00"/>
        <d v="2025-03-18T00:00:00"/>
        <d v="2023-12-03T00:00:00"/>
        <d v="2021-04-13T00:00:00"/>
        <d v="2023-10-05T00:00:00"/>
        <d v="2024-12-13T00:00:00"/>
        <d v="2023-05-12T00:00:00"/>
        <d v="2020-05-21T00:00:00"/>
        <d v="2021-07-21T00:00:00"/>
        <d v="2024-06-01T00:00:00"/>
        <d v="2024-06-13T00:00:00"/>
        <d v="2022-11-14T00:00:00"/>
        <d v="2021-09-16T00:00:00"/>
        <d v="2021-03-11T00:00:00"/>
        <d v="2021-12-17T00:00:00"/>
        <d v="2022-06-14T00:00:00"/>
        <d v="2023-12-14T00:00:00"/>
        <d v="2022-10-12T00:00:00"/>
        <d v="2023-07-31T00:00:00"/>
        <d v="2024-09-11T00:00:00"/>
        <d v="2020-05-03T00:00:00"/>
        <d v="2024-07-26T00:00:00"/>
        <d v="2020-09-09T00:00:00"/>
        <d v="2024-04-29T00:00:00"/>
        <d v="2024-09-29T00:00:00"/>
        <d v="2022-12-11T00:00:00"/>
        <d v="2023-10-23T00:00:00"/>
        <d v="2023-09-22T00:00:00"/>
        <d v="2024-07-08T00:00:00"/>
        <d v="2021-05-28T00:00:00"/>
        <d v="2025-01-25T00:00:00"/>
        <d v="2023-04-14T00:00:00"/>
        <d v="2022-07-01T00:00:00"/>
        <d v="2021-02-28T00:00:00"/>
        <d v="2024-04-27T00:00:00"/>
        <d v="2021-11-08T00:00:00"/>
        <d v="2022-08-04T00:00:00"/>
        <d v="2022-07-13T00:00:00"/>
        <d v="2021-05-15T00:00:00"/>
        <d v="2024-01-23T00:00:00"/>
        <d v="2023-03-14T00:00:00"/>
        <d v="2023-09-06T00:00:00"/>
        <d v="2022-10-14T00:00:00"/>
        <d v="2022-11-17T00:00:00"/>
        <d v="2022-10-29T00:00:00"/>
        <d v="2021-01-09T00:00:00"/>
        <d v="2023-09-03T00:00:00"/>
        <d v="2020-12-12T00:00:00"/>
        <d v="2025-02-26T00:00:00"/>
        <d v="2024-08-18T00:00:00"/>
        <d v="2021-08-24T00:00:00"/>
        <d v="2023-09-17T00:00:00"/>
        <d v="2020-06-18T00:00:00"/>
        <d v="2023-05-29T00:00:00"/>
        <d v="2022-01-30T00:00:00"/>
        <d v="2022-06-22T00:00:00"/>
        <d v="2020-10-10T00:00:00"/>
        <d v="2024-08-19T00:00:00"/>
        <d v="2024-05-29T00:00:00"/>
        <d v="2024-09-05T00:00:00"/>
        <d v="2022-11-23T00:00:00"/>
        <d v="2023-12-08T00:00:00"/>
        <d v="2021-11-01T00:00:00"/>
        <d v="2021-08-25T00:00:00"/>
        <d v="2022-05-26T00:00:00"/>
        <d v="2022-09-23T00:00:00"/>
        <d v="2024-02-29T00:00:00"/>
        <d v="2022-01-23T00:00:00"/>
        <d v="2022-07-27T00:00:00"/>
        <d v="2022-08-22T00:00:00"/>
        <d v="2023-08-02T00:00:00"/>
        <d v="2022-05-15T00:00:00"/>
        <d v="2024-07-10T00:00:00"/>
        <d v="2023-01-30T00:00:00"/>
        <d v="2022-10-07T00:00:00"/>
        <d v="2024-01-11T00:00:00"/>
        <d v="2020-09-23T00:00:00"/>
        <d v="2024-07-23T00:00:00"/>
        <d v="2025-02-17T00:00:00"/>
      </sharedItems>
      <fieldGroup par="15"/>
    </cacheField>
    <cacheField name="Rating" numFmtId="43">
      <sharedItems containsSemiMixedTypes="0" containsString="0" containsNumber="1" minValue="1.0660000000000001" maxValue="593"/>
    </cacheField>
    <cacheField name="Score" numFmtId="43">
      <sharedItems containsSemiMixedTypes="0" containsString="0" containsNumber="1" minValue="0.16" maxValue="99.92"/>
    </cacheField>
    <cacheField name="Calc Field 0" numFmtId="0" formula="ROUND(OrderValue*1.1,0)" databaseField="0"/>
    <cacheField name="Months (InvoiceDate)" numFmtId="0" databaseField="0">
      <fieldGroup base="9">
        <rangePr groupBy="months" startDate="2020-04-17T00:00:00" endDate="2025-04-05T00:00:00"/>
        <groupItems count="14">
          <s v="&lt;2020-04-17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025-04-05"/>
        </groupItems>
      </fieldGroup>
    </cacheField>
    <cacheField name="Quarters (InvoiceDate)" numFmtId="0" databaseField="0">
      <fieldGroup base="9">
        <rangePr groupBy="quarters" startDate="2020-04-17T00:00:00" endDate="2025-04-05T00:00:00"/>
        <groupItems count="6">
          <s v="&lt;2020-04-17"/>
          <s v="Qtr1"/>
          <s v="Qtr2"/>
          <s v="Qtr3"/>
          <s v="Qtr4"/>
          <s v="&gt;2025-04-05"/>
        </groupItems>
      </fieldGroup>
    </cacheField>
    <cacheField name="Years (InvoiceDate)" numFmtId="0" databaseField="0">
      <fieldGroup base="9">
        <rangePr groupBy="years" startDate="2020-04-17T00:00:00" endDate="2025-04-05T00:00:00"/>
        <groupItems count="8">
          <s v="&lt;2020-04-17"/>
          <s v="2020"/>
          <s v="2021"/>
          <s v="2022"/>
          <s v="2023"/>
          <s v="2024"/>
          <s v="2025"/>
          <s v="&gt;2025-04-0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x v="0"/>
    <s v="1-371-927-3444"/>
    <s v="erat.etiam@aol.org"/>
    <x v="0"/>
    <x v="0"/>
    <x v="0"/>
    <n v="432"/>
    <n v="40060.519999999997"/>
    <x v="0"/>
    <x v="0"/>
    <n v="26.937000000000001"/>
    <n v="99.92"/>
  </r>
  <r>
    <x v="1"/>
    <s v="1-768-598-8326"/>
    <s v="varius.et@google.org"/>
    <x v="1"/>
    <x v="1"/>
    <x v="1"/>
    <n v="143"/>
    <n v="73875.25"/>
    <x v="0"/>
    <x v="1"/>
    <n v="12.314"/>
    <n v="96.02"/>
  </r>
  <r>
    <x v="2"/>
    <s v="(670) 567-7526"/>
    <s v="feugiat@google.edu"/>
    <x v="2"/>
    <x v="2"/>
    <x v="2"/>
    <n v="128"/>
    <n v="74933.490000000005"/>
    <x v="0"/>
    <x v="2"/>
    <n v="4.7370000000000001"/>
    <n v="80.260000000000005"/>
  </r>
  <r>
    <x v="3"/>
    <s v="(216) 814-3208"/>
    <s v="egestas.rhoncus@google.co.uk"/>
    <x v="3"/>
    <x v="3"/>
    <x v="3"/>
    <n v="212"/>
    <n v="82800.600000000006"/>
    <x v="0"/>
    <x v="3"/>
    <n v="5.6180000000000003"/>
    <n v="52.17"/>
  </r>
  <r>
    <x v="4"/>
    <s v="(416) 673-2316"/>
    <s v="sem.vitae@outlook.co.uk"/>
    <x v="4"/>
    <x v="4"/>
    <x v="4"/>
    <n v="300"/>
    <n v="48316.49"/>
    <x v="1"/>
    <x v="4"/>
    <n v="27.927"/>
    <n v="99.87"/>
  </r>
  <r>
    <x v="5"/>
    <s v="(895) 705-7353"/>
    <s v="odio.vel.est@aol.org"/>
    <x v="5"/>
    <x v="5"/>
    <x v="5"/>
    <n v="15"/>
    <n v="19359.05"/>
    <x v="0"/>
    <x v="5"/>
    <n v="6.7910000000000004"/>
    <n v="8.84"/>
  </r>
  <r>
    <x v="6"/>
    <s v="(472) 673-2372"/>
    <s v="tincidunt.pede@google.com"/>
    <x v="6"/>
    <x v="6"/>
    <x v="6"/>
    <n v="79"/>
    <n v="22863.95"/>
    <x v="0"/>
    <x v="6"/>
    <n v="19.588999999999999"/>
    <n v="14.44"/>
  </r>
  <r>
    <x v="7"/>
    <s v="(130) 471-1838"/>
    <s v="ut.dolor@icloud.org"/>
    <x v="7"/>
    <x v="7"/>
    <x v="7"/>
    <n v="468"/>
    <n v="65095.51"/>
    <x v="0"/>
    <x v="7"/>
    <n v="11.023"/>
    <n v="88.55"/>
  </r>
  <r>
    <x v="8"/>
    <s v="(833) 587-8365"/>
    <s v="turpis.egestas.fusce@google.org"/>
    <x v="8"/>
    <x v="8"/>
    <x v="8"/>
    <n v="18"/>
    <n v="20126.98"/>
    <x v="0"/>
    <x v="8"/>
    <n v="11.5"/>
    <n v="27.35"/>
  </r>
  <r>
    <x v="9"/>
    <s v="(437) 839-8779"/>
    <s v="etiam.bibendum@protonmail.net"/>
    <x v="9"/>
    <x v="9"/>
    <x v="9"/>
    <n v="487"/>
    <n v="48578.11"/>
    <x v="1"/>
    <x v="9"/>
    <n v="10.351000000000001"/>
    <n v="22.34"/>
  </r>
  <r>
    <x v="10"/>
    <s v="1-657-537-7712"/>
    <s v="cursus@outlook.net"/>
    <x v="10"/>
    <x v="10"/>
    <x v="10"/>
    <n v="480"/>
    <n v="54406.29"/>
    <x v="1"/>
    <x v="10"/>
    <n v="25.885999999999999"/>
    <n v="91.72"/>
  </r>
  <r>
    <x v="11"/>
    <s v="1-343-577-2718"/>
    <s v="quisque.porttitor@aol.com"/>
    <x v="11"/>
    <x v="11"/>
    <x v="11"/>
    <n v="453"/>
    <n v="86936.95"/>
    <x v="0"/>
    <x v="11"/>
    <n v="11.343999999999999"/>
    <n v="16.62"/>
  </r>
  <r>
    <x v="12"/>
    <s v="(652) 498-1353"/>
    <s v="non.vestibulum.nec@yahoo.org"/>
    <x v="12"/>
    <x v="12"/>
    <x v="11"/>
    <n v="393"/>
    <n v="33997.99"/>
    <x v="0"/>
    <x v="12"/>
    <n v="25.651"/>
    <n v="46.45"/>
  </r>
  <r>
    <x v="13"/>
    <s v="1-477-595-4571"/>
    <s v="non.lobortis@yahoo.net"/>
    <x v="13"/>
    <x v="13"/>
    <x v="12"/>
    <n v="47"/>
    <n v="49293.96"/>
    <x v="0"/>
    <x v="13"/>
    <n v="27.797000000000001"/>
    <n v="24.09"/>
  </r>
  <r>
    <x v="14"/>
    <s v="1-713-571-1354"/>
    <s v="neque@outlook.edu"/>
    <x v="14"/>
    <x v="14"/>
    <x v="13"/>
    <n v="389"/>
    <n v="58282.41"/>
    <x v="0"/>
    <x v="14"/>
    <n v="2.419"/>
    <n v="9.1"/>
  </r>
  <r>
    <x v="15"/>
    <s v="1-237-519-7528"/>
    <s v="integer.aliquam.adipiscing@aol.ca"/>
    <x v="15"/>
    <x v="15"/>
    <x v="9"/>
    <n v="308"/>
    <n v="8729.49"/>
    <x v="1"/>
    <x v="15"/>
    <n v="3.4609999999999999"/>
    <n v="87.53"/>
  </r>
  <r>
    <x v="16"/>
    <s v="1-783-284-3908"/>
    <s v="et.nunc@hotmail.com"/>
    <x v="16"/>
    <x v="16"/>
    <x v="14"/>
    <n v="232"/>
    <n v="38717.9"/>
    <x v="0"/>
    <x v="16"/>
    <n v="5.4690000000000003"/>
    <n v="66.650000000000006"/>
  </r>
  <r>
    <x v="17"/>
    <s v="(838) 144-5959"/>
    <s v="nisi.magna@protonmail.com"/>
    <x v="17"/>
    <x v="17"/>
    <x v="15"/>
    <n v="229"/>
    <n v="44012.4"/>
    <x v="0"/>
    <x v="17"/>
    <n v="23.567"/>
    <n v="69.62"/>
  </r>
  <r>
    <x v="18"/>
    <s v="(775) 260-9303"/>
    <s v="per.conubia@icloud.ca"/>
    <x v="18"/>
    <x v="18"/>
    <x v="16"/>
    <n v="423"/>
    <n v="88193.17"/>
    <x v="0"/>
    <x v="18"/>
    <n v="6.7590000000000003"/>
    <n v="29.13"/>
  </r>
  <r>
    <x v="19"/>
    <s v="(223) 232-5914"/>
    <s v="nam@yahoo.org"/>
    <x v="19"/>
    <x v="19"/>
    <x v="17"/>
    <n v="431"/>
    <n v="36714.550000000003"/>
    <x v="0"/>
    <x v="19"/>
    <n v="4.0659999999999998"/>
    <n v="23.48"/>
  </r>
  <r>
    <x v="20"/>
    <s v="(884) 824-7658"/>
    <s v="nisl.nulla.eu@protonmail.edu"/>
    <x v="20"/>
    <x v="20"/>
    <x v="14"/>
    <n v="168"/>
    <n v="86567.11"/>
    <x v="0"/>
    <x v="20"/>
    <n v="20.834"/>
    <n v="84.21"/>
  </r>
  <r>
    <x v="21"/>
    <s v="(859) 647-0647"/>
    <s v="ut.molestie@protonmail.edu"/>
    <x v="21"/>
    <x v="21"/>
    <x v="18"/>
    <n v="147"/>
    <n v="11412.23"/>
    <x v="1"/>
    <x v="21"/>
    <n v="2.6480000000000001"/>
    <n v="20.28"/>
  </r>
  <r>
    <x v="22"/>
    <s v="1-578-412-9585"/>
    <s v="at@hotmail.net"/>
    <x v="22"/>
    <x v="22"/>
    <x v="8"/>
    <n v="346"/>
    <n v="22188.53"/>
    <x v="1"/>
    <x v="22"/>
    <n v="27.683"/>
    <n v="63.92"/>
  </r>
  <r>
    <x v="23"/>
    <s v="(256) 383-5251"/>
    <s v="integer.in@aol.net"/>
    <x v="23"/>
    <x v="23"/>
    <x v="19"/>
    <n v="350"/>
    <n v="33991.89"/>
    <x v="1"/>
    <x v="23"/>
    <n v="28.524000000000001"/>
    <n v="12.06"/>
  </r>
  <r>
    <x v="24"/>
    <s v="(324) 514-8846"/>
    <s v="lacus.mauris@protonmail.co.uk"/>
    <x v="24"/>
    <x v="24"/>
    <x v="5"/>
    <n v="301"/>
    <n v="3619.93"/>
    <x v="0"/>
    <x v="24"/>
    <n v="13.598000000000001"/>
    <n v="56.37"/>
  </r>
  <r>
    <x v="25"/>
    <s v="(627) 283-7751"/>
    <s v="conubia.nostra@icloud.org"/>
    <x v="25"/>
    <x v="25"/>
    <x v="1"/>
    <n v="407"/>
    <n v="3387.11"/>
    <x v="0"/>
    <x v="25"/>
    <n v="17.363"/>
    <n v="4.18"/>
  </r>
  <r>
    <x v="26"/>
    <s v="1-551-522-9467"/>
    <s v="erat.neque@protonmail.org"/>
    <x v="26"/>
    <x v="26"/>
    <x v="14"/>
    <n v="171"/>
    <n v="87450"/>
    <x v="0"/>
    <x v="26"/>
    <n v="19.718"/>
    <n v="26.14"/>
  </r>
  <r>
    <x v="27"/>
    <s v="(245) 805-6774"/>
    <s v="pellentesque.ultricies@yahoo.net"/>
    <x v="27"/>
    <x v="27"/>
    <x v="19"/>
    <n v="488"/>
    <n v="15735.99"/>
    <x v="0"/>
    <x v="27"/>
    <n v="13.747999999999999"/>
    <n v="95.76"/>
  </r>
  <r>
    <x v="28"/>
    <s v="1-257-718-5916"/>
    <s v="feugiat.metus.sit@outlook.edu"/>
    <x v="28"/>
    <x v="28"/>
    <x v="20"/>
    <n v="239"/>
    <n v="35270.660000000003"/>
    <x v="0"/>
    <x v="28"/>
    <n v="4.8070000000000004"/>
    <n v="21.5"/>
  </r>
  <r>
    <x v="29"/>
    <s v="1-818-884-4486"/>
    <s v="nulla.eu.neque@outlook.edu"/>
    <x v="29"/>
    <x v="29"/>
    <x v="7"/>
    <n v="58"/>
    <n v="71347.63"/>
    <x v="0"/>
    <x v="29"/>
    <n v="17.085000000000001"/>
    <n v="2.84"/>
  </r>
  <r>
    <x v="30"/>
    <s v="(884) 359-1287"/>
    <s v="non.bibendum@protonmail.edu"/>
    <x v="30"/>
    <x v="30"/>
    <x v="5"/>
    <n v="357"/>
    <n v="68436.149999999994"/>
    <x v="0"/>
    <x v="30"/>
    <n v="8.9649999999999999"/>
    <n v="50.51"/>
  </r>
  <r>
    <x v="31"/>
    <s v="(351) 900-2836"/>
    <s v="ullamcorper@aol.edu"/>
    <x v="31"/>
    <x v="23"/>
    <x v="0"/>
    <n v="235"/>
    <n v="89704.3"/>
    <x v="1"/>
    <x v="31"/>
    <n v="11.192"/>
    <n v="6.3"/>
  </r>
  <r>
    <x v="32"/>
    <s v="(774) 377-3783"/>
    <s v="sollicitudin@aol.com"/>
    <x v="32"/>
    <x v="31"/>
    <x v="21"/>
    <n v="445"/>
    <n v="62052.89"/>
    <x v="0"/>
    <x v="32"/>
    <n v="5.4729999999999999"/>
    <n v="68.3"/>
  </r>
  <r>
    <x v="33"/>
    <s v="1-242-725-2164"/>
    <s v="eget.lacus@protonmail.org"/>
    <x v="33"/>
    <x v="32"/>
    <x v="2"/>
    <n v="41"/>
    <n v="6380.07"/>
    <x v="0"/>
    <x v="33"/>
    <n v="28.128"/>
    <n v="78.31"/>
  </r>
  <r>
    <x v="34"/>
    <s v="(243) 631-6412"/>
    <s v="conubia.nostra.per@protonmail.co.uk"/>
    <x v="34"/>
    <x v="33"/>
    <x v="9"/>
    <n v="122"/>
    <n v="71538.320000000007"/>
    <x v="0"/>
    <x v="34"/>
    <n v="10.414"/>
    <n v="42.29"/>
  </r>
  <r>
    <x v="35"/>
    <s v="1-147-652-6697"/>
    <s v="tempor.erat@google.org"/>
    <x v="35"/>
    <x v="34"/>
    <x v="16"/>
    <n v="411"/>
    <n v="71213.23"/>
    <x v="0"/>
    <x v="35"/>
    <n v="10.210000000000001"/>
    <n v="4.91"/>
  </r>
  <r>
    <x v="36"/>
    <s v="1-572-668-8823"/>
    <s v="mi.pede.nonummy@aol.co.uk"/>
    <x v="36"/>
    <x v="35"/>
    <x v="5"/>
    <n v="192"/>
    <n v="58974.98"/>
    <x v="0"/>
    <x v="36"/>
    <n v="19.332999999999998"/>
    <n v="88.75"/>
  </r>
  <r>
    <x v="37"/>
    <s v="(663) 633-7563"/>
    <s v="ac.mattis@protonmail.co.uk"/>
    <x v="37"/>
    <x v="36"/>
    <x v="15"/>
    <n v="205"/>
    <n v="21370.29"/>
    <x v="1"/>
    <x v="37"/>
    <n v="3.5430000000000001"/>
    <n v="98.8"/>
  </r>
  <r>
    <x v="38"/>
    <s v="1-944-687-2437"/>
    <s v="a@aol.edu"/>
    <x v="38"/>
    <x v="37"/>
    <x v="13"/>
    <n v="45"/>
    <n v="76370.97"/>
    <x v="0"/>
    <x v="38"/>
    <n v="8.4659999999999993"/>
    <n v="69.06"/>
  </r>
  <r>
    <x v="39"/>
    <s v="(741) 929-4315"/>
    <s v="sodales@outlook.co.uk"/>
    <x v="39"/>
    <x v="38"/>
    <x v="22"/>
    <n v="147"/>
    <n v="5829.39"/>
    <x v="1"/>
    <x v="39"/>
    <n v="15.334"/>
    <n v="86.57"/>
  </r>
  <r>
    <x v="40"/>
    <s v="1-595-657-1841"/>
    <s v="faucibus.leo@hotmail.com"/>
    <x v="40"/>
    <x v="39"/>
    <x v="12"/>
    <n v="150"/>
    <n v="63074.64"/>
    <x v="1"/>
    <x v="40"/>
    <n v="27.995000000000001"/>
    <n v="71.47"/>
  </r>
  <r>
    <x v="41"/>
    <s v="(245) 351-1879"/>
    <s v="nibh.phasellus.nulla@hotmail.edu"/>
    <x v="41"/>
    <x v="40"/>
    <x v="3"/>
    <n v="390"/>
    <n v="22856.21"/>
    <x v="1"/>
    <x v="41"/>
    <n v="15.449"/>
    <n v="88.86"/>
  </r>
  <r>
    <x v="42"/>
    <s v="1-851-719-4453"/>
    <s v="in.lorem@icloud.edu"/>
    <x v="42"/>
    <x v="17"/>
    <x v="13"/>
    <n v="189"/>
    <n v="45015.519999999997"/>
    <x v="1"/>
    <x v="42"/>
    <n v="16.882000000000001"/>
    <n v="24.37"/>
  </r>
  <r>
    <x v="43"/>
    <s v="1-823-753-6671"/>
    <s v="sem.vitae@hotmail.com"/>
    <x v="43"/>
    <x v="41"/>
    <x v="23"/>
    <n v="25"/>
    <n v="56385.51"/>
    <x v="1"/>
    <x v="43"/>
    <n v="22.77"/>
    <n v="41.4"/>
  </r>
  <r>
    <x v="44"/>
    <s v="(770) 491-5572"/>
    <s v="natoque.penatibus@google.net"/>
    <x v="44"/>
    <x v="42"/>
    <x v="11"/>
    <n v="28"/>
    <n v="60911.33"/>
    <x v="0"/>
    <x v="44"/>
    <n v="21.936"/>
    <n v="50.92"/>
  </r>
  <r>
    <x v="45"/>
    <s v="(959) 736-2362"/>
    <s v="diam.eu.dolor@icloud.com"/>
    <x v="45"/>
    <x v="43"/>
    <x v="5"/>
    <n v="252"/>
    <n v="36485.56"/>
    <x v="0"/>
    <x v="45"/>
    <n v="13.669"/>
    <n v="22.16"/>
  </r>
  <r>
    <x v="46"/>
    <s v="1-114-147-6371"/>
    <s v="non.arcu.vivamus@icloud.org"/>
    <x v="46"/>
    <x v="44"/>
    <x v="24"/>
    <n v="190"/>
    <n v="35618.050000000003"/>
    <x v="1"/>
    <x v="46"/>
    <n v="19.963000000000001"/>
    <n v="37.49"/>
  </r>
  <r>
    <x v="47"/>
    <s v="1-516-424-7588"/>
    <s v="ornare.lectus@google.org"/>
    <x v="47"/>
    <x v="45"/>
    <x v="25"/>
    <n v="439"/>
    <n v="13864.85"/>
    <x v="1"/>
    <x v="47"/>
    <n v="11.923"/>
    <n v="16.18"/>
  </r>
  <r>
    <x v="48"/>
    <s v="(774) 432-4154"/>
    <s v="tempus.non@google.com"/>
    <x v="48"/>
    <x v="46"/>
    <x v="3"/>
    <n v="201"/>
    <n v="78907.14"/>
    <x v="1"/>
    <x v="48"/>
    <n v="9.7149999999999999"/>
    <n v="72.459999999999994"/>
  </r>
  <r>
    <x v="49"/>
    <s v="1-881-874-2228"/>
    <s v="tempor.augue@protonmail.net"/>
    <x v="49"/>
    <x v="47"/>
    <x v="13"/>
    <n v="457"/>
    <n v="10271.66"/>
    <x v="1"/>
    <x v="49"/>
    <n v="29.754999999999999"/>
    <n v="82.02"/>
  </r>
  <r>
    <x v="50"/>
    <s v="1-419-379-8551"/>
    <s v="lorem.ipsum@aol.edu"/>
    <x v="50"/>
    <x v="48"/>
    <x v="11"/>
    <n v="483"/>
    <n v="71549.95"/>
    <x v="0"/>
    <x v="50"/>
    <n v="1.399"/>
    <n v="94.88"/>
  </r>
  <r>
    <x v="51"/>
    <s v="1-641-213-5467"/>
    <s v="sem.semper@google.com"/>
    <x v="51"/>
    <x v="49"/>
    <x v="16"/>
    <n v="346"/>
    <n v="36841.01"/>
    <x v="1"/>
    <x v="51"/>
    <n v="8.5239999999999991"/>
    <n v="8.48"/>
  </r>
  <r>
    <x v="52"/>
    <s v="(518) 763-5528"/>
    <s v="risus@yahoo.ca"/>
    <x v="52"/>
    <x v="50"/>
    <x v="7"/>
    <n v="71"/>
    <n v="17679.95"/>
    <x v="0"/>
    <x v="52"/>
    <n v="19.803999999999998"/>
    <n v="83.58"/>
  </r>
  <r>
    <x v="53"/>
    <s v="1-443-541-9142"/>
    <s v="nunc.quis@aol.net"/>
    <x v="53"/>
    <x v="51"/>
    <x v="4"/>
    <n v="350"/>
    <n v="4254.01"/>
    <x v="1"/>
    <x v="53"/>
    <n v="9.1389999999999993"/>
    <n v="42.5"/>
  </r>
  <r>
    <x v="54"/>
    <s v="1-911-858-1723"/>
    <s v="gravida.nunc@yahoo.org"/>
    <x v="54"/>
    <x v="52"/>
    <x v="1"/>
    <n v="109"/>
    <n v="768.33"/>
    <x v="1"/>
    <x v="54"/>
    <n v="17.556999999999999"/>
    <n v="84.75"/>
  </r>
  <r>
    <x v="55"/>
    <s v="(444) 337-3232"/>
    <s v="quisque.nonummy.ipsum@protonmail.co.uk"/>
    <x v="55"/>
    <x v="49"/>
    <x v="26"/>
    <n v="194"/>
    <n v="6435.32"/>
    <x v="0"/>
    <x v="55"/>
    <n v="14.089"/>
    <n v="86.28"/>
  </r>
  <r>
    <x v="56"/>
    <s v="1-635-862-5685"/>
    <s v="vel.pede.blandit@hotmail.com"/>
    <x v="56"/>
    <x v="53"/>
    <x v="27"/>
    <n v="417"/>
    <n v="88525.6"/>
    <x v="1"/>
    <x v="56"/>
    <n v="5.1970000000000001"/>
    <n v="11.57"/>
  </r>
  <r>
    <x v="57"/>
    <s v="(785) 691-6538"/>
    <s v="cubilia.curae@google.net"/>
    <x v="57"/>
    <x v="14"/>
    <x v="24"/>
    <n v="16"/>
    <n v="58381.49"/>
    <x v="1"/>
    <x v="57"/>
    <n v="11.102"/>
    <n v="5.63"/>
  </r>
  <r>
    <x v="58"/>
    <s v="1-853-324-1797"/>
    <s v="erat@google.ca"/>
    <x v="58"/>
    <x v="54"/>
    <x v="28"/>
    <n v="74"/>
    <n v="571.11"/>
    <x v="0"/>
    <x v="58"/>
    <n v="25.861999999999998"/>
    <n v="28.92"/>
  </r>
  <r>
    <x v="59"/>
    <s v="1-466-842-8384"/>
    <s v="tellus.aenean@google.ca"/>
    <x v="59"/>
    <x v="55"/>
    <x v="4"/>
    <n v="370"/>
    <n v="47311.15"/>
    <x v="1"/>
    <x v="27"/>
    <n v="9.6430000000000007"/>
    <n v="4.13"/>
  </r>
  <r>
    <x v="60"/>
    <s v="(795) 717-2614"/>
    <s v="risus@yahoo.com"/>
    <x v="60"/>
    <x v="56"/>
    <x v="24"/>
    <n v="303"/>
    <n v="6333.53"/>
    <x v="0"/>
    <x v="1"/>
    <n v="22.885999999999999"/>
    <n v="12.92"/>
  </r>
  <r>
    <x v="61"/>
    <s v="1-680-731-0643"/>
    <s v="elit@protonmail.org"/>
    <x v="61"/>
    <x v="57"/>
    <x v="12"/>
    <n v="76"/>
    <n v="53087.93"/>
    <x v="0"/>
    <x v="59"/>
    <n v="21.645"/>
    <n v="12.08"/>
  </r>
  <r>
    <x v="62"/>
    <s v="(245) 289-6453"/>
    <s v="odio@hotmail.ca"/>
    <x v="62"/>
    <x v="58"/>
    <x v="28"/>
    <n v="287"/>
    <n v="27306.95"/>
    <x v="0"/>
    <x v="60"/>
    <n v="20.023"/>
    <n v="70.14"/>
  </r>
  <r>
    <x v="63"/>
    <s v="(676) 719-2667"/>
    <s v="amet.nulla@outlook.ca"/>
    <x v="63"/>
    <x v="59"/>
    <x v="16"/>
    <n v="9"/>
    <n v="61803.49"/>
    <x v="1"/>
    <x v="61"/>
    <n v="21.710999999999999"/>
    <n v="29.04"/>
  </r>
  <r>
    <x v="64"/>
    <s v="(558) 939-1643"/>
    <s v="dolor.dapibus.gravida@icloud.net"/>
    <x v="64"/>
    <x v="60"/>
    <x v="24"/>
    <n v="427"/>
    <n v="718.49"/>
    <x v="0"/>
    <x v="62"/>
    <n v="26.391999999999999"/>
    <n v="3.59"/>
  </r>
  <r>
    <x v="65"/>
    <s v="1-707-827-0664"/>
    <s v="cursus.non@hotmail.net"/>
    <x v="65"/>
    <x v="61"/>
    <x v="20"/>
    <n v="337"/>
    <n v="30923.360000000001"/>
    <x v="1"/>
    <x v="63"/>
    <n v="27.526"/>
    <n v="21.4"/>
  </r>
  <r>
    <x v="66"/>
    <s v="1-296-341-6448"/>
    <s v="fusce.feugiat@yahoo.ca"/>
    <x v="66"/>
    <x v="62"/>
    <x v="11"/>
    <n v="228"/>
    <n v="20402.2"/>
    <x v="1"/>
    <x v="64"/>
    <n v="24.581"/>
    <n v="48.4"/>
  </r>
  <r>
    <x v="67"/>
    <s v="1-937-676-3761"/>
    <s v="lobortis.quam.a@icloud.com"/>
    <x v="67"/>
    <x v="63"/>
    <x v="1"/>
    <n v="453"/>
    <n v="16459.38"/>
    <x v="0"/>
    <x v="65"/>
    <n v="13.278"/>
    <n v="47.77"/>
  </r>
  <r>
    <x v="68"/>
    <s v="(671) 474-3957"/>
    <s v="phasellus.in@icloud.ca"/>
    <x v="68"/>
    <x v="64"/>
    <x v="24"/>
    <n v="192"/>
    <n v="43316.480000000003"/>
    <x v="0"/>
    <x v="66"/>
    <n v="6.3140000000000001"/>
    <n v="15.2"/>
  </r>
  <r>
    <x v="69"/>
    <s v="(974) 469-4255"/>
    <s v="ornare.placerat@hotmail.org"/>
    <x v="69"/>
    <x v="65"/>
    <x v="16"/>
    <n v="231"/>
    <n v="66441.679999999993"/>
    <x v="0"/>
    <x v="67"/>
    <n v="20.992000000000001"/>
    <n v="20.22"/>
  </r>
  <r>
    <x v="70"/>
    <s v="1-767-860-6647"/>
    <s v="nulla.semper@aol.ca"/>
    <x v="70"/>
    <x v="66"/>
    <x v="12"/>
    <n v="22"/>
    <n v="35769.71"/>
    <x v="1"/>
    <x v="68"/>
    <n v="8.3230000000000004"/>
    <n v="11.03"/>
  </r>
  <r>
    <x v="71"/>
    <s v="(271) 834-3482"/>
    <s v="imperdiet.dictum@yahoo.org"/>
    <x v="71"/>
    <x v="67"/>
    <x v="2"/>
    <n v="251"/>
    <n v="41410.54"/>
    <x v="1"/>
    <x v="69"/>
    <n v="25.843"/>
    <n v="61.66"/>
  </r>
  <r>
    <x v="72"/>
    <s v="(825) 878-7397"/>
    <s v="mauris@protonmail.edu"/>
    <x v="72"/>
    <x v="68"/>
    <x v="7"/>
    <n v="68"/>
    <n v="16107.59"/>
    <x v="0"/>
    <x v="70"/>
    <n v="20.244"/>
    <n v="33.51"/>
  </r>
  <r>
    <x v="73"/>
    <s v="1-461-739-5690"/>
    <s v="est.tempor@google.net"/>
    <x v="73"/>
    <x v="69"/>
    <x v="14"/>
    <n v="352"/>
    <n v="33525.82"/>
    <x v="0"/>
    <x v="71"/>
    <n v="4.5819999999999999"/>
    <n v="86.81"/>
  </r>
  <r>
    <x v="74"/>
    <s v="(744) 571-1271"/>
    <s v="vel.sapien@yahoo.net"/>
    <x v="74"/>
    <x v="70"/>
    <x v="7"/>
    <n v="62"/>
    <n v="25016.46"/>
    <x v="1"/>
    <x v="72"/>
    <n v="14.718"/>
    <n v="59.25"/>
  </r>
  <r>
    <x v="75"/>
    <s v="1-635-618-7322"/>
    <s v="risus.donec@google.com"/>
    <x v="75"/>
    <x v="29"/>
    <x v="29"/>
    <n v="435"/>
    <n v="50879.73"/>
    <x v="1"/>
    <x v="17"/>
    <n v="23.318999999999999"/>
    <n v="19.48"/>
  </r>
  <r>
    <x v="76"/>
    <s v="(349) 531-7874"/>
    <s v="arcu.aliquam@yahoo.net"/>
    <x v="76"/>
    <x v="71"/>
    <x v="17"/>
    <n v="446"/>
    <n v="84391"/>
    <x v="1"/>
    <x v="73"/>
    <n v="18.863"/>
    <n v="43.9"/>
  </r>
  <r>
    <x v="77"/>
    <s v="(336) 632-8783"/>
    <s v="sed@google.edu"/>
    <x v="77"/>
    <x v="72"/>
    <x v="30"/>
    <n v="172"/>
    <n v="82849.77"/>
    <x v="1"/>
    <x v="74"/>
    <n v="20.358000000000001"/>
    <n v="43.78"/>
  </r>
  <r>
    <x v="78"/>
    <s v="1-475-490-6257"/>
    <s v="tellus.imperdiet@google.edu"/>
    <x v="78"/>
    <x v="73"/>
    <x v="17"/>
    <n v="197"/>
    <n v="48371.360000000001"/>
    <x v="1"/>
    <x v="75"/>
    <n v="16.771000000000001"/>
    <n v="0.16"/>
  </r>
  <r>
    <x v="79"/>
    <s v="(538) 640-2521"/>
    <s v="conubia.nostra@hotmail.com"/>
    <x v="79"/>
    <x v="55"/>
    <x v="24"/>
    <n v="432"/>
    <n v="25079.8"/>
    <x v="1"/>
    <x v="76"/>
    <n v="1.4470000000000001"/>
    <n v="8.19"/>
  </r>
  <r>
    <x v="80"/>
    <s v="1-770-521-3652"/>
    <s v="cras.interdum@aol.ca"/>
    <x v="80"/>
    <x v="43"/>
    <x v="9"/>
    <n v="439"/>
    <n v="79446.820000000007"/>
    <x v="0"/>
    <x v="77"/>
    <n v="23.247"/>
    <n v="33.53"/>
  </r>
  <r>
    <x v="81"/>
    <s v="(588) 819-9118"/>
    <s v="taciti@aol.co.uk"/>
    <x v="81"/>
    <x v="58"/>
    <x v="2"/>
    <n v="216"/>
    <n v="66175.759999999995"/>
    <x v="1"/>
    <x v="78"/>
    <n v="5.4219999999999997"/>
    <n v="34.630000000000003"/>
  </r>
  <r>
    <x v="82"/>
    <s v="(385) 405-8214"/>
    <s v="suscipit.est@aol.ca"/>
    <x v="82"/>
    <x v="74"/>
    <x v="22"/>
    <n v="363"/>
    <n v="46521.04"/>
    <x v="0"/>
    <x v="79"/>
    <n v="7.1680000000000001"/>
    <n v="78.78"/>
  </r>
  <r>
    <x v="83"/>
    <s v="1-835-531-7653"/>
    <s v="a.feugiat@yahoo.net"/>
    <x v="83"/>
    <x v="75"/>
    <x v="20"/>
    <n v="171"/>
    <n v="61368.98"/>
    <x v="1"/>
    <x v="80"/>
    <n v="19.649999999999999"/>
    <n v="46.41"/>
  </r>
  <r>
    <x v="84"/>
    <s v="1-373-438-7768"/>
    <s v="hendrerit.donec@protonmail.ca"/>
    <x v="84"/>
    <x v="76"/>
    <x v="3"/>
    <n v="102"/>
    <n v="26128.86"/>
    <x v="0"/>
    <x v="81"/>
    <n v="7.3310000000000004"/>
    <n v="12.09"/>
  </r>
  <r>
    <x v="85"/>
    <s v="1-641-531-7865"/>
    <s v="nec.quam@google.ca"/>
    <x v="85"/>
    <x v="77"/>
    <x v="31"/>
    <n v="129"/>
    <n v="336.68"/>
    <x v="0"/>
    <x v="79"/>
    <n v="21.768000000000001"/>
    <n v="26.04"/>
  </r>
  <r>
    <x v="86"/>
    <s v="(734) 668-8733"/>
    <s v="sodales.at@yahoo.co.uk"/>
    <x v="86"/>
    <x v="40"/>
    <x v="15"/>
    <n v="492"/>
    <n v="82707.17"/>
    <x v="1"/>
    <x v="82"/>
    <n v="22.739000000000001"/>
    <n v="18.14"/>
  </r>
  <r>
    <x v="87"/>
    <s v="(146) 787-4571"/>
    <s v="enim.sit@outlook.net"/>
    <x v="87"/>
    <x v="78"/>
    <x v="25"/>
    <n v="110"/>
    <n v="33296.620000000003"/>
    <x v="0"/>
    <x v="83"/>
    <n v="13.492000000000001"/>
    <n v="59.12"/>
  </r>
  <r>
    <x v="88"/>
    <s v="1-477-885-3776"/>
    <s v="maecenas.libero@google.com"/>
    <x v="88"/>
    <x v="79"/>
    <x v="7"/>
    <n v="354"/>
    <n v="82311.7"/>
    <x v="1"/>
    <x v="84"/>
    <n v="13.744"/>
    <n v="55.66"/>
  </r>
  <r>
    <x v="89"/>
    <s v="1-349-586-7685"/>
    <s v="arcu.vestibulum@hotmail.net"/>
    <x v="89"/>
    <x v="80"/>
    <x v="25"/>
    <n v="239"/>
    <n v="32464.2"/>
    <x v="1"/>
    <x v="85"/>
    <n v="26.815999999999999"/>
    <n v="38.64"/>
  </r>
  <r>
    <x v="90"/>
    <s v="1-476-536-8558"/>
    <s v="ut.dolor.dapibus@hotmail.edu"/>
    <x v="90"/>
    <x v="81"/>
    <x v="17"/>
    <n v="293"/>
    <n v="10628.5"/>
    <x v="0"/>
    <x v="86"/>
    <n v="593"/>
    <n v="22.94"/>
  </r>
  <r>
    <x v="91"/>
    <s v="(209) 545-1813"/>
    <s v="sagittis.nullam@protonmail.edu"/>
    <x v="91"/>
    <x v="82"/>
    <x v="19"/>
    <n v="195"/>
    <n v="66029.7"/>
    <x v="1"/>
    <x v="87"/>
    <n v="22.097999999999999"/>
    <n v="28.16"/>
  </r>
  <r>
    <x v="92"/>
    <s v="(356) 878-8577"/>
    <s v="blandit.nam.nulla@google.org"/>
    <x v="92"/>
    <x v="8"/>
    <x v="29"/>
    <n v="427"/>
    <n v="26883.82"/>
    <x v="0"/>
    <x v="88"/>
    <n v="17.108000000000001"/>
    <n v="15.93"/>
  </r>
  <r>
    <x v="93"/>
    <s v="(223) 287-5835"/>
    <s v="consequat@aol.com"/>
    <x v="93"/>
    <x v="83"/>
    <x v="5"/>
    <n v="397"/>
    <n v="21539.16"/>
    <x v="1"/>
    <x v="89"/>
    <n v="7.8239999999999998"/>
    <n v="58.12"/>
  </r>
  <r>
    <x v="94"/>
    <s v="(138) 777-8867"/>
    <s v="est.mollis@hotmail.org"/>
    <x v="94"/>
    <x v="75"/>
    <x v="30"/>
    <n v="137"/>
    <n v="13893.18"/>
    <x v="0"/>
    <x v="90"/>
    <n v="7.6109999999999998"/>
    <n v="32.79"/>
  </r>
  <r>
    <x v="95"/>
    <s v="1-524-723-3782"/>
    <s v="est.mauris@aol.ca"/>
    <x v="95"/>
    <x v="84"/>
    <x v="29"/>
    <n v="243"/>
    <n v="2676.8"/>
    <x v="1"/>
    <x v="91"/>
    <n v="25.51"/>
    <n v="62.84"/>
  </r>
  <r>
    <x v="96"/>
    <s v="1-934-402-4687"/>
    <s v="mollis.duis@yahoo.edu"/>
    <x v="96"/>
    <x v="85"/>
    <x v="1"/>
    <n v="214"/>
    <n v="65413.5"/>
    <x v="1"/>
    <x v="92"/>
    <n v="21.010999999999999"/>
    <n v="30.01"/>
  </r>
  <r>
    <x v="97"/>
    <s v="1-237-498-1407"/>
    <s v="a@protonmail.org"/>
    <x v="97"/>
    <x v="86"/>
    <x v="2"/>
    <n v="175"/>
    <n v="12962.91"/>
    <x v="1"/>
    <x v="93"/>
    <n v="29.56"/>
    <n v="14.14"/>
  </r>
  <r>
    <x v="98"/>
    <s v="1-435-631-1841"/>
    <s v="nascetur.ridiculus@outlook.com"/>
    <x v="98"/>
    <x v="87"/>
    <x v="17"/>
    <n v="128"/>
    <n v="58789.74"/>
    <x v="1"/>
    <x v="94"/>
    <n v="11.093"/>
    <n v="28.03"/>
  </r>
  <r>
    <x v="99"/>
    <s v="(666) 329-5845"/>
    <s v="aliquam.vulputate.ullamcorper@hotmail.com"/>
    <x v="99"/>
    <x v="88"/>
    <x v="0"/>
    <n v="188"/>
    <n v="87614.3"/>
    <x v="0"/>
    <x v="95"/>
    <n v="14.73"/>
    <n v="32.44"/>
  </r>
  <r>
    <x v="100"/>
    <s v="1-146-729-2959"/>
    <s v="phasellus@hotmail.net"/>
    <x v="100"/>
    <x v="89"/>
    <x v="1"/>
    <n v="31"/>
    <n v="49573.54"/>
    <x v="1"/>
    <x v="96"/>
    <n v="29.542000000000002"/>
    <n v="5.57"/>
  </r>
  <r>
    <x v="101"/>
    <s v="(762) 104-3478"/>
    <s v="dui.suspendisse@protonmail.co.uk"/>
    <x v="101"/>
    <x v="90"/>
    <x v="8"/>
    <n v="141"/>
    <n v="78228.34"/>
    <x v="1"/>
    <x v="97"/>
    <n v="20.047999999999998"/>
    <n v="41.47"/>
  </r>
  <r>
    <x v="102"/>
    <s v="(736) 836-8754"/>
    <s v="quis.diam.pellentesque@yahoo.com"/>
    <x v="102"/>
    <x v="91"/>
    <x v="9"/>
    <n v="218"/>
    <n v="89663"/>
    <x v="0"/>
    <x v="98"/>
    <n v="23.015000000000001"/>
    <n v="86.63"/>
  </r>
  <r>
    <x v="103"/>
    <s v="(711) 153-2598"/>
    <s v="dui.suspendisse.ac@yahoo.com"/>
    <x v="103"/>
    <x v="92"/>
    <x v="12"/>
    <n v="335"/>
    <n v="25362.35"/>
    <x v="0"/>
    <x v="99"/>
    <n v="2.1019999999999999"/>
    <n v="83.62"/>
  </r>
  <r>
    <x v="104"/>
    <s v="(369) 855-6213"/>
    <s v="vehicula.pellentesque@yahoo.net"/>
    <x v="104"/>
    <x v="93"/>
    <x v="9"/>
    <n v="168"/>
    <n v="49644.62"/>
    <x v="0"/>
    <x v="100"/>
    <n v="21.673999999999999"/>
    <n v="18.420000000000002"/>
  </r>
  <r>
    <x v="105"/>
    <s v="(635) 637-1220"/>
    <s v="in.ornare.sagittis@google.co.uk"/>
    <x v="105"/>
    <x v="94"/>
    <x v="25"/>
    <n v="401"/>
    <n v="13302.79"/>
    <x v="1"/>
    <x v="101"/>
    <n v="28.305"/>
    <n v="63.45"/>
  </r>
  <r>
    <x v="106"/>
    <s v="(126) 299-1284"/>
    <s v="ligula.eu@aol.com"/>
    <x v="106"/>
    <x v="95"/>
    <x v="17"/>
    <n v="452"/>
    <n v="54746.71"/>
    <x v="0"/>
    <x v="102"/>
    <n v="27.667000000000002"/>
    <n v="26.25"/>
  </r>
  <r>
    <x v="107"/>
    <s v="(942) 850-9145"/>
    <s v="nunc.commodo.auctor@protonmail.com"/>
    <x v="107"/>
    <x v="96"/>
    <x v="22"/>
    <n v="491"/>
    <n v="57571.13"/>
    <x v="0"/>
    <x v="103"/>
    <n v="1.0660000000000001"/>
    <n v="66.55"/>
  </r>
  <r>
    <x v="108"/>
    <s v="(862) 468-0753"/>
    <s v="curabitur.dictum@outlook.ca"/>
    <x v="108"/>
    <x v="97"/>
    <x v="23"/>
    <n v="212"/>
    <n v="33731.56"/>
    <x v="0"/>
    <x v="104"/>
    <n v="7.0170000000000003"/>
    <n v="67.81"/>
  </r>
  <r>
    <x v="109"/>
    <s v="1-269-874-9498"/>
    <s v="eget.metus@outlook.edu"/>
    <x v="109"/>
    <x v="44"/>
    <x v="13"/>
    <n v="396"/>
    <n v="24892.78"/>
    <x v="0"/>
    <x v="105"/>
    <n v="13.176"/>
    <n v="92.18"/>
  </r>
  <r>
    <x v="110"/>
    <s v="(733) 724-4840"/>
    <s v="aenean.sed@hotmail.net"/>
    <x v="110"/>
    <x v="98"/>
    <x v="8"/>
    <n v="197"/>
    <n v="78772.259999999995"/>
    <x v="1"/>
    <x v="106"/>
    <n v="22.675000000000001"/>
    <n v="35.76"/>
  </r>
  <r>
    <x v="111"/>
    <s v="(755) 402-8448"/>
    <s v="consectetuer.adipiscing@yahoo.edu"/>
    <x v="111"/>
    <x v="99"/>
    <x v="9"/>
    <n v="168"/>
    <n v="21442.28"/>
    <x v="0"/>
    <x v="107"/>
    <n v="1.93"/>
    <n v="8.25"/>
  </r>
  <r>
    <x v="112"/>
    <s v="(232) 623-3323"/>
    <s v="a.malesuada@google.net"/>
    <x v="112"/>
    <x v="100"/>
    <x v="31"/>
    <n v="16"/>
    <n v="77271.08"/>
    <x v="1"/>
    <x v="57"/>
    <n v="16.190999999999999"/>
    <n v="36.81"/>
  </r>
  <r>
    <x v="113"/>
    <s v="(532) 296-3512"/>
    <s v="tincidunt.aliquam@hotmail.ca"/>
    <x v="113"/>
    <x v="101"/>
    <x v="8"/>
    <n v="432"/>
    <n v="86954.37"/>
    <x v="0"/>
    <x v="108"/>
    <n v="29.266999999999999"/>
    <n v="32.590000000000003"/>
  </r>
  <r>
    <x v="114"/>
    <s v="1-424-417-8593"/>
    <s v="convallis.dolor.quisque@yahoo.org"/>
    <x v="114"/>
    <x v="102"/>
    <x v="29"/>
    <n v="252"/>
    <n v="4157.6499999999996"/>
    <x v="0"/>
    <x v="109"/>
    <n v="17.863"/>
    <n v="18.07"/>
  </r>
  <r>
    <x v="115"/>
    <s v="(185) 336-0305"/>
    <s v="dignissim.magna@protonmail.edu"/>
    <x v="115"/>
    <x v="103"/>
    <x v="1"/>
    <n v="136"/>
    <n v="71578.97"/>
    <x v="1"/>
    <x v="110"/>
    <n v="17.181999999999999"/>
    <n v="74.099999999999994"/>
  </r>
  <r>
    <x v="116"/>
    <s v="1-761-788-2245"/>
    <s v="tellus.justo.sit@aol.co.uk"/>
    <x v="116"/>
    <x v="104"/>
    <x v="8"/>
    <n v="385"/>
    <n v="978.01"/>
    <x v="1"/>
    <x v="111"/>
    <n v="26.577000000000002"/>
    <n v="80.349999999999994"/>
  </r>
  <r>
    <x v="117"/>
    <s v="1-405-398-5461"/>
    <s v="rhoncus.proin@aol.org"/>
    <x v="117"/>
    <x v="105"/>
    <x v="15"/>
    <n v="126"/>
    <n v="1374.12"/>
    <x v="1"/>
    <x v="112"/>
    <n v="23.463999999999999"/>
    <n v="31.28"/>
  </r>
  <r>
    <x v="118"/>
    <s v="1-483-940-4675"/>
    <s v="augue.sed@protonmail.com"/>
    <x v="118"/>
    <x v="106"/>
    <x v="12"/>
    <n v="201"/>
    <n v="28625.14"/>
    <x v="1"/>
    <x v="113"/>
    <n v="27.201000000000001"/>
    <n v="73.27"/>
  </r>
  <r>
    <x v="119"/>
    <s v="1-717-769-4318"/>
    <s v="turpis.non.enim@icloud.ca"/>
    <x v="119"/>
    <x v="107"/>
    <x v="15"/>
    <n v="185"/>
    <n v="56303.45"/>
    <x v="1"/>
    <x v="114"/>
    <n v="10.504"/>
    <n v="45.28"/>
  </r>
  <r>
    <x v="120"/>
    <s v="(818) 215-7673"/>
    <s v="magnis@protonmail.org"/>
    <x v="120"/>
    <x v="108"/>
    <x v="15"/>
    <n v="253"/>
    <n v="79167.850000000006"/>
    <x v="1"/>
    <x v="115"/>
    <n v="25.497"/>
    <n v="70.02"/>
  </r>
  <r>
    <x v="121"/>
    <s v="(722) 748-8186"/>
    <s v="aliquam.iaculis@google.co.uk"/>
    <x v="121"/>
    <x v="51"/>
    <x v="5"/>
    <n v="419"/>
    <n v="56117.91"/>
    <x v="1"/>
    <x v="116"/>
    <n v="18.989999999999998"/>
    <n v="57.4"/>
  </r>
  <r>
    <x v="122"/>
    <s v="(356) 768-8461"/>
    <s v="nonummy@aol.net"/>
    <x v="122"/>
    <x v="109"/>
    <x v="26"/>
    <n v="66"/>
    <n v="80223.039999999994"/>
    <x v="0"/>
    <x v="117"/>
    <n v="5.6840000000000002"/>
    <n v="68.22"/>
  </r>
  <r>
    <x v="123"/>
    <s v="(611) 386-2545"/>
    <s v="tellus@yahoo.com"/>
    <x v="123"/>
    <x v="110"/>
    <x v="13"/>
    <n v="35"/>
    <n v="27932.68"/>
    <x v="0"/>
    <x v="118"/>
    <n v="9.5129999999999999"/>
    <n v="25.9"/>
  </r>
  <r>
    <x v="124"/>
    <s v="(444) 459-7841"/>
    <s v="egestas.fusce@outlook.ca"/>
    <x v="124"/>
    <x v="111"/>
    <x v="10"/>
    <n v="380"/>
    <n v="38046.22"/>
    <x v="0"/>
    <x v="119"/>
    <n v="5.0259999999999998"/>
    <n v="26.58"/>
  </r>
  <r>
    <x v="125"/>
    <s v="1-289-433-5755"/>
    <s v="risus.donec.egestas@google.com"/>
    <x v="125"/>
    <x v="112"/>
    <x v="0"/>
    <n v="379"/>
    <n v="60972.66"/>
    <x v="1"/>
    <x v="120"/>
    <n v="15.009"/>
    <n v="75.36"/>
  </r>
  <r>
    <x v="126"/>
    <s v="1-641-268-5257"/>
    <s v="integer.tincidunt.aliquam@aol.com"/>
    <x v="126"/>
    <x v="113"/>
    <x v="23"/>
    <n v="369"/>
    <n v="64562.14"/>
    <x v="1"/>
    <x v="121"/>
    <n v="15.215"/>
    <n v="93.92"/>
  </r>
  <r>
    <x v="127"/>
    <s v="1-822-965-7224"/>
    <s v="quisque.purus.sapien@icloud.ca"/>
    <x v="127"/>
    <x v="114"/>
    <x v="16"/>
    <n v="15"/>
    <n v="62968.51"/>
    <x v="1"/>
    <x v="122"/>
    <n v="18.288"/>
    <n v="82.23"/>
  </r>
  <r>
    <x v="128"/>
    <s v="(222) 471-5516"/>
    <s v="elementum@protonmail.org"/>
    <x v="128"/>
    <x v="41"/>
    <x v="0"/>
    <n v="303"/>
    <n v="23177.439999999999"/>
    <x v="1"/>
    <x v="123"/>
    <n v="14.436"/>
    <n v="7.84"/>
  </r>
  <r>
    <x v="129"/>
    <s v="(851) 525-3194"/>
    <s v="eget@hotmail.edu"/>
    <x v="129"/>
    <x v="96"/>
    <x v="2"/>
    <n v="205"/>
    <n v="78764.62"/>
    <x v="1"/>
    <x v="124"/>
    <n v="19.734999999999999"/>
    <n v="96.17"/>
  </r>
  <r>
    <x v="130"/>
    <s v="(436) 744-5607"/>
    <s v="donec.nibh@outlook.edu"/>
    <x v="130"/>
    <x v="115"/>
    <x v="15"/>
    <n v="296"/>
    <n v="71699.37"/>
    <x v="1"/>
    <x v="125"/>
    <n v="10.065"/>
    <n v="71.73"/>
  </r>
  <r>
    <x v="131"/>
    <s v="(619) 431-4815"/>
    <s v="viverra.donec@google.edu"/>
    <x v="131"/>
    <x v="116"/>
    <x v="6"/>
    <n v="365"/>
    <n v="71216.03"/>
    <x v="0"/>
    <x v="126"/>
    <n v="9.5619999999999994"/>
    <n v="77.37"/>
  </r>
  <r>
    <x v="132"/>
    <s v="(570) 264-2651"/>
    <s v="ultricies.ligula@protonmail.ca"/>
    <x v="132"/>
    <x v="117"/>
    <x v="7"/>
    <n v="420"/>
    <n v="85264.3"/>
    <x v="0"/>
    <x v="127"/>
    <n v="20.218"/>
    <n v="53.22"/>
  </r>
  <r>
    <x v="133"/>
    <s v="(231) 735-2583"/>
    <s v="inceptos.hymenaeos@outlook.edu"/>
    <x v="133"/>
    <x v="118"/>
    <x v="30"/>
    <n v="499"/>
    <n v="6222.75"/>
    <x v="1"/>
    <x v="128"/>
    <n v="3.7"/>
    <n v="26.98"/>
  </r>
  <r>
    <x v="134"/>
    <s v="1-389-334-8187"/>
    <s v="magna.ut@icloud.net"/>
    <x v="134"/>
    <x v="119"/>
    <x v="2"/>
    <n v="416"/>
    <n v="21572.26"/>
    <x v="0"/>
    <x v="129"/>
    <n v="25.53"/>
    <n v="85.44"/>
  </r>
  <r>
    <x v="135"/>
    <s v="1-955-969-8692"/>
    <s v="ipsum.primis.in@protonmail.com"/>
    <x v="135"/>
    <x v="120"/>
    <x v="26"/>
    <n v="431"/>
    <n v="29270.35"/>
    <x v="0"/>
    <x v="62"/>
    <n v="17.928999999999998"/>
    <n v="38.85"/>
  </r>
  <r>
    <x v="136"/>
    <s v="(884) 265-6534"/>
    <s v="lacus@outlook.org"/>
    <x v="136"/>
    <x v="96"/>
    <x v="7"/>
    <n v="144"/>
    <n v="45970.59"/>
    <x v="1"/>
    <x v="36"/>
    <n v="5.202"/>
    <n v="84.76"/>
  </r>
  <r>
    <x v="137"/>
    <s v="1-705-180-6628"/>
    <s v="aliquam@aol.com"/>
    <x v="137"/>
    <x v="121"/>
    <x v="8"/>
    <n v="401"/>
    <n v="83001.91"/>
    <x v="1"/>
    <x v="130"/>
    <n v="10.19"/>
    <n v="97.11"/>
  </r>
  <r>
    <x v="138"/>
    <s v="1-360-609-9853"/>
    <s v="sagittis@yahoo.ca"/>
    <x v="138"/>
    <x v="122"/>
    <x v="18"/>
    <n v="123"/>
    <n v="32410.240000000002"/>
    <x v="0"/>
    <x v="131"/>
    <n v="1.8759999999999999"/>
    <n v="88.43"/>
  </r>
  <r>
    <x v="139"/>
    <s v="1-712-116-7261"/>
    <s v="a.nunc@aol.org"/>
    <x v="139"/>
    <x v="123"/>
    <x v="24"/>
    <n v="476"/>
    <n v="79331.37"/>
    <x v="0"/>
    <x v="132"/>
    <n v="9.9969999999999999"/>
    <n v="30.06"/>
  </r>
  <r>
    <x v="140"/>
    <s v="1-335-996-5563"/>
    <s v="nulla.tincidunt@outlook.co.uk"/>
    <x v="140"/>
    <x v="124"/>
    <x v="26"/>
    <n v="423"/>
    <n v="32905.53"/>
    <x v="1"/>
    <x v="133"/>
    <n v="18.984999999999999"/>
    <n v="56.46"/>
  </r>
  <r>
    <x v="141"/>
    <s v="(313) 566-4635"/>
    <s v="dignissim.lacus.aliquam@google.com"/>
    <x v="141"/>
    <x v="125"/>
    <x v="2"/>
    <n v="321"/>
    <n v="79253.179999999993"/>
    <x v="1"/>
    <x v="31"/>
    <n v="8.0009999999999994"/>
    <n v="38.119999999999997"/>
  </r>
  <r>
    <x v="142"/>
    <s v="(114) 241-1004"/>
    <s v="facilisis@hotmail.ca"/>
    <x v="142"/>
    <x v="58"/>
    <x v="25"/>
    <n v="14"/>
    <n v="40608.43"/>
    <x v="1"/>
    <x v="30"/>
    <n v="10.358000000000001"/>
    <n v="99.06"/>
  </r>
  <r>
    <x v="143"/>
    <s v="(835) 248-1966"/>
    <s v="vel.quam@aol.edu"/>
    <x v="143"/>
    <x v="126"/>
    <x v="23"/>
    <n v="429"/>
    <n v="85416.21"/>
    <x v="1"/>
    <x v="134"/>
    <n v="28.175999999999998"/>
    <n v="30.49"/>
  </r>
  <r>
    <x v="144"/>
    <s v="(514) 782-1325"/>
    <s v="ullamcorper.magna.sed@protonmail.edu"/>
    <x v="144"/>
    <x v="87"/>
    <x v="20"/>
    <n v="128"/>
    <n v="16861.830000000002"/>
    <x v="1"/>
    <x v="135"/>
    <n v="29.946999999999999"/>
    <n v="19.18"/>
  </r>
  <r>
    <x v="145"/>
    <s v="1-725-444-2472"/>
    <s v="eu@hotmail.co.uk"/>
    <x v="145"/>
    <x v="127"/>
    <x v="17"/>
    <n v="151"/>
    <n v="23840.38"/>
    <x v="1"/>
    <x v="136"/>
    <n v="3.8519999999999999"/>
    <n v="35.36"/>
  </r>
  <r>
    <x v="146"/>
    <s v="1-322-726-1746"/>
    <s v="luctus.ipsum@google.net"/>
    <x v="146"/>
    <x v="127"/>
    <x v="8"/>
    <n v="276"/>
    <n v="11115.72"/>
    <x v="0"/>
    <x v="137"/>
    <n v="1.913"/>
    <n v="29.21"/>
  </r>
  <r>
    <x v="147"/>
    <s v="(494) 266-7263"/>
    <s v="ut.semper@outlook.org"/>
    <x v="147"/>
    <x v="128"/>
    <x v="6"/>
    <n v="287"/>
    <n v="40847.769999999997"/>
    <x v="0"/>
    <x v="138"/>
    <n v="29.652999999999999"/>
    <n v="28.52"/>
  </r>
  <r>
    <x v="148"/>
    <s v="(519) 852-1653"/>
    <s v="nibh.dolor.nonummy@icloud.com"/>
    <x v="148"/>
    <x v="29"/>
    <x v="2"/>
    <n v="379"/>
    <n v="46271.88"/>
    <x v="1"/>
    <x v="139"/>
    <n v="4.1479999999999997"/>
    <n v="52.93"/>
  </r>
  <r>
    <x v="149"/>
    <s v="(568) 877-6330"/>
    <s v="semper.nam@yahoo.com"/>
    <x v="149"/>
    <x v="129"/>
    <x v="32"/>
    <n v="327"/>
    <n v="14941.36"/>
    <x v="0"/>
    <x v="140"/>
    <n v="2.8479999999999999"/>
    <n v="96.16"/>
  </r>
  <r>
    <x v="150"/>
    <s v="(623) 368-7825"/>
    <s v="ac.facilisis.facilisis@yahoo.ca"/>
    <x v="150"/>
    <x v="130"/>
    <x v="33"/>
    <n v="346"/>
    <n v="13523.13"/>
    <x v="1"/>
    <x v="141"/>
    <n v="8.7769999999999992"/>
    <n v="16.16"/>
  </r>
  <r>
    <x v="151"/>
    <s v="(378) 564-4168"/>
    <s v="rhoncus.donec.est@aol.co.uk"/>
    <x v="151"/>
    <x v="131"/>
    <x v="6"/>
    <n v="308"/>
    <n v="34729.96"/>
    <x v="1"/>
    <x v="142"/>
    <n v="27.507999999999999"/>
    <n v="21.34"/>
  </r>
  <r>
    <x v="152"/>
    <s v="(454) 775-7817"/>
    <s v="auctor@google.edu"/>
    <x v="152"/>
    <x v="132"/>
    <x v="4"/>
    <n v="410"/>
    <n v="5751.15"/>
    <x v="1"/>
    <x v="143"/>
    <n v="3.2010000000000001"/>
    <n v="79.25"/>
  </r>
  <r>
    <x v="153"/>
    <s v="1-817-792-4345"/>
    <s v="auctor.nunc@protonmail.ca"/>
    <x v="153"/>
    <x v="133"/>
    <x v="30"/>
    <n v="88"/>
    <n v="73677.600000000006"/>
    <x v="0"/>
    <x v="144"/>
    <n v="26.882999999999999"/>
    <n v="69.930000000000007"/>
  </r>
  <r>
    <x v="154"/>
    <s v="1-721-321-6033"/>
    <s v="proin.nisl@aol.com"/>
    <x v="154"/>
    <x v="36"/>
    <x v="12"/>
    <n v="463"/>
    <n v="18650.169999999998"/>
    <x v="0"/>
    <x v="145"/>
    <n v="3.694"/>
    <n v="35.82"/>
  </r>
  <r>
    <x v="155"/>
    <s v="1-246-823-7734"/>
    <s v="varius.orci.in@google.org"/>
    <x v="155"/>
    <x v="130"/>
    <x v="21"/>
    <n v="413"/>
    <n v="82180.23"/>
    <x v="1"/>
    <x v="146"/>
    <n v="26.321000000000002"/>
    <n v="60.51"/>
  </r>
  <r>
    <x v="156"/>
    <s v="1-677-575-2535"/>
    <s v="auctor.odio.a@protonmail.co.uk"/>
    <x v="156"/>
    <x v="134"/>
    <x v="23"/>
    <n v="21"/>
    <n v="35319.5"/>
    <x v="1"/>
    <x v="147"/>
    <n v="25.585000000000001"/>
    <n v="67.86"/>
  </r>
  <r>
    <x v="157"/>
    <s v="(441) 514-3528"/>
    <s v="purus.mauris@yahoo.ca"/>
    <x v="157"/>
    <x v="135"/>
    <x v="26"/>
    <n v="463"/>
    <n v="29801.53"/>
    <x v="0"/>
    <x v="148"/>
    <n v="22.138999999999999"/>
    <n v="33.369999999999997"/>
  </r>
  <r>
    <x v="158"/>
    <s v="(289) 235-8725"/>
    <s v="nonummy.fusce@yahoo.co.uk"/>
    <x v="158"/>
    <x v="136"/>
    <x v="27"/>
    <n v="433"/>
    <n v="86247.96"/>
    <x v="1"/>
    <x v="149"/>
    <n v="23.094000000000001"/>
    <n v="96.17"/>
  </r>
  <r>
    <x v="159"/>
    <s v="(525) 465-3682"/>
    <s v="tristique.senectus@hotmail.net"/>
    <x v="159"/>
    <x v="137"/>
    <x v="9"/>
    <n v="345"/>
    <n v="35488.400000000001"/>
    <x v="1"/>
    <x v="117"/>
    <n v="16.486999999999998"/>
    <n v="72.680000000000007"/>
  </r>
  <r>
    <x v="160"/>
    <s v="1-572-347-3393"/>
    <s v="parturient.montes.nascetur@protonmail.org"/>
    <x v="160"/>
    <x v="138"/>
    <x v="23"/>
    <n v="456"/>
    <n v="55239.21"/>
    <x v="1"/>
    <x v="150"/>
    <n v="14.5"/>
    <n v="30.05"/>
  </r>
  <r>
    <x v="161"/>
    <s v="(301) 781-2157"/>
    <s v="aliquam.adipiscing.lobortis@icloud.ca"/>
    <x v="161"/>
    <x v="139"/>
    <x v="0"/>
    <n v="461"/>
    <n v="67620.27"/>
    <x v="1"/>
    <x v="31"/>
    <n v="11.738"/>
    <n v="15.8"/>
  </r>
  <r>
    <x v="162"/>
    <s v="(513) 675-5128"/>
    <s v="rhoncus.nullam.velit@outlook.co.uk"/>
    <x v="162"/>
    <x v="140"/>
    <x v="4"/>
    <n v="362"/>
    <n v="42845.9"/>
    <x v="0"/>
    <x v="151"/>
    <n v="24.587"/>
    <n v="97.2"/>
  </r>
  <r>
    <x v="163"/>
    <s v="(941) 431-6745"/>
    <s v="sed.pharetra@yahoo.org"/>
    <x v="163"/>
    <x v="141"/>
    <x v="33"/>
    <n v="151"/>
    <n v="51650.16"/>
    <x v="1"/>
    <x v="152"/>
    <n v="18.323"/>
    <n v="26.77"/>
  </r>
  <r>
    <x v="164"/>
    <s v="(215) 261-1137"/>
    <s v="eu.arcu@aol.org"/>
    <x v="164"/>
    <x v="25"/>
    <x v="33"/>
    <n v="452"/>
    <n v="56397.440000000002"/>
    <x v="1"/>
    <x v="153"/>
    <n v="29.478000000000002"/>
    <n v="12.7"/>
  </r>
  <r>
    <x v="165"/>
    <s v="(548) 568-1977"/>
    <s v="sollicitudin@google.org"/>
    <x v="165"/>
    <x v="142"/>
    <x v="29"/>
    <n v="68"/>
    <n v="42901.51"/>
    <x v="0"/>
    <x v="154"/>
    <n v="7.2889999999999997"/>
    <n v="14.05"/>
  </r>
  <r>
    <x v="166"/>
    <s v="1-918-827-5936"/>
    <s v="purus.nullam@outlook.edu"/>
    <x v="166"/>
    <x v="138"/>
    <x v="34"/>
    <n v="53"/>
    <n v="87003.39"/>
    <x v="1"/>
    <x v="155"/>
    <n v="20.077000000000002"/>
    <n v="65.37"/>
  </r>
  <r>
    <x v="167"/>
    <s v="1-561-872-8534"/>
    <s v="libero.dui@yahoo.co.uk"/>
    <x v="167"/>
    <x v="46"/>
    <x v="28"/>
    <n v="174"/>
    <n v="88422.06"/>
    <x v="0"/>
    <x v="97"/>
    <n v="20.666"/>
    <n v="77.63"/>
  </r>
  <r>
    <x v="168"/>
    <s v="(341) 483-2372"/>
    <s v="lacus@icloud.com"/>
    <x v="168"/>
    <x v="87"/>
    <x v="10"/>
    <n v="400"/>
    <n v="62371.5"/>
    <x v="1"/>
    <x v="156"/>
    <n v="9.202"/>
    <n v="55.49"/>
  </r>
  <r>
    <x v="169"/>
    <s v="(884) 355-8271"/>
    <s v="a.auctor@hotmail.com"/>
    <x v="169"/>
    <x v="143"/>
    <x v="21"/>
    <n v="498"/>
    <n v="7297.22"/>
    <x v="0"/>
    <x v="157"/>
    <n v="25.765999999999998"/>
    <n v="31.19"/>
  </r>
  <r>
    <x v="170"/>
    <s v="1-217-425-9550"/>
    <s v="molestie.tellus@icloud.co.uk"/>
    <x v="170"/>
    <x v="5"/>
    <x v="33"/>
    <n v="369"/>
    <n v="70555.59"/>
    <x v="0"/>
    <x v="158"/>
    <n v="7.7910000000000004"/>
    <n v="72.11"/>
  </r>
  <r>
    <x v="171"/>
    <s v="(598) 655-1772"/>
    <s v="sed.dictum@protonmail.co.uk"/>
    <x v="171"/>
    <x v="144"/>
    <x v="6"/>
    <n v="289"/>
    <n v="24350.75"/>
    <x v="1"/>
    <x v="131"/>
    <n v="27.827999999999999"/>
    <n v="78.13"/>
  </r>
  <r>
    <x v="172"/>
    <s v="(583) 746-5001"/>
    <s v="cubilia.curae@outlook.org"/>
    <x v="172"/>
    <x v="145"/>
    <x v="28"/>
    <n v="246"/>
    <n v="33631.040000000001"/>
    <x v="1"/>
    <x v="159"/>
    <n v="28.606000000000002"/>
    <n v="29.92"/>
  </r>
  <r>
    <x v="173"/>
    <s v="(874) 293-0496"/>
    <s v="tristique.pellentesque.tellus@hotmail.co.uk"/>
    <x v="173"/>
    <x v="146"/>
    <x v="2"/>
    <n v="358"/>
    <n v="64703.05"/>
    <x v="1"/>
    <x v="160"/>
    <n v="21.77"/>
    <n v="95.13"/>
  </r>
  <r>
    <x v="174"/>
    <s v="1-110-825-8779"/>
    <s v="volutpat.ornare@hotmail.co.uk"/>
    <x v="174"/>
    <x v="147"/>
    <x v="22"/>
    <n v="42"/>
    <n v="83696.009999999995"/>
    <x v="1"/>
    <x v="95"/>
    <n v="3.129"/>
    <n v="5.49"/>
  </r>
  <r>
    <x v="175"/>
    <s v="(989) 488-7961"/>
    <s v="elit.curabitur@outlook.org"/>
    <x v="175"/>
    <x v="42"/>
    <x v="9"/>
    <n v="138"/>
    <n v="45144.24"/>
    <x v="0"/>
    <x v="161"/>
    <n v="5.7869999999999999"/>
    <n v="37.54"/>
  </r>
  <r>
    <x v="176"/>
    <s v="1-273-966-2855"/>
    <s v="semper.nam@hotmail.edu"/>
    <x v="176"/>
    <x v="125"/>
    <x v="12"/>
    <n v="406"/>
    <n v="6349.19"/>
    <x v="0"/>
    <x v="162"/>
    <n v="16.763999999999999"/>
    <n v="22.42"/>
  </r>
  <r>
    <x v="177"/>
    <s v="(528) 879-1153"/>
    <s v="volutpat.nunc.sit@protonmail.co.uk"/>
    <x v="177"/>
    <x v="148"/>
    <x v="20"/>
    <n v="467"/>
    <n v="16035.43"/>
    <x v="0"/>
    <x v="163"/>
    <n v="9.2759999999999998"/>
    <n v="35.04"/>
  </r>
  <r>
    <x v="178"/>
    <s v="1-890-401-7665"/>
    <s v="venenatis.vel@hotmail.net"/>
    <x v="178"/>
    <x v="149"/>
    <x v="10"/>
    <n v="265"/>
    <n v="13242.66"/>
    <x v="0"/>
    <x v="164"/>
    <n v="6.7779999999999996"/>
    <n v="69.22"/>
  </r>
  <r>
    <x v="179"/>
    <s v="(483) 386-0131"/>
    <s v="varius.et@aol.edu"/>
    <x v="179"/>
    <x v="150"/>
    <x v="24"/>
    <n v="118"/>
    <n v="78029.36"/>
    <x v="0"/>
    <x v="165"/>
    <n v="24.132999999999999"/>
    <n v="0.37"/>
  </r>
  <r>
    <x v="180"/>
    <s v="1-137-723-1422"/>
    <s v="ante.ipsum@icloud.ca"/>
    <x v="180"/>
    <x v="151"/>
    <x v="6"/>
    <n v="149"/>
    <n v="49286.720000000001"/>
    <x v="0"/>
    <x v="166"/>
    <n v="20.39"/>
    <n v="82.14"/>
  </r>
  <r>
    <x v="181"/>
    <s v="(428) 906-8882"/>
    <s v="pede.sagittis.augue@yahoo.ca"/>
    <x v="181"/>
    <x v="152"/>
    <x v="30"/>
    <n v="331"/>
    <n v="81192.95"/>
    <x v="0"/>
    <x v="167"/>
    <n v="12.343999999999999"/>
    <n v="2.67"/>
  </r>
  <r>
    <x v="182"/>
    <s v="1-805-385-4327"/>
    <s v="morbi@protonmail.edu"/>
    <x v="182"/>
    <x v="153"/>
    <x v="22"/>
    <n v="189"/>
    <n v="80641.86"/>
    <x v="0"/>
    <x v="168"/>
    <n v="14.597"/>
    <n v="92.03"/>
  </r>
  <r>
    <x v="183"/>
    <s v="(778) 186-3761"/>
    <s v="libero.donec.consectetuer@yahoo.ca"/>
    <x v="183"/>
    <x v="154"/>
    <x v="22"/>
    <n v="216"/>
    <n v="7813.36"/>
    <x v="0"/>
    <x v="169"/>
    <n v="13.242000000000001"/>
    <n v="75.27"/>
  </r>
  <r>
    <x v="184"/>
    <s v="(792) 458-8602"/>
    <s v="sagittis.semper@protonmail.edu"/>
    <x v="184"/>
    <x v="155"/>
    <x v="17"/>
    <n v="115"/>
    <n v="50924.3"/>
    <x v="0"/>
    <x v="170"/>
    <n v="19.513000000000002"/>
    <n v="35.61"/>
  </r>
  <r>
    <x v="185"/>
    <s v="(168) 216-9788"/>
    <s v="dui@aol.org"/>
    <x v="185"/>
    <x v="101"/>
    <x v="6"/>
    <n v="205"/>
    <n v="63170.44"/>
    <x v="0"/>
    <x v="171"/>
    <n v="28.434999999999999"/>
    <n v="95.82"/>
  </r>
  <r>
    <x v="186"/>
    <s v="1-579-281-4641"/>
    <s v="molestie.tortor@hotmail.co.uk"/>
    <x v="186"/>
    <x v="156"/>
    <x v="15"/>
    <n v="134"/>
    <n v="70471.25"/>
    <x v="0"/>
    <x v="172"/>
    <n v="16.081"/>
    <n v="61.26"/>
  </r>
  <r>
    <x v="187"/>
    <s v="1-654-465-6669"/>
    <s v="in.tincidunt.congue@icloud.ca"/>
    <x v="187"/>
    <x v="157"/>
    <x v="8"/>
    <n v="114"/>
    <n v="37103.4"/>
    <x v="0"/>
    <x v="173"/>
    <n v="26.465"/>
    <n v="92.84"/>
  </r>
  <r>
    <x v="188"/>
    <s v="1-617-911-2387"/>
    <s v="consectetuer.adipiscing@hotmail.net"/>
    <x v="188"/>
    <x v="158"/>
    <x v="5"/>
    <n v="338"/>
    <n v="36306.9"/>
    <x v="1"/>
    <x v="174"/>
    <n v="4.4870000000000001"/>
    <n v="49.25"/>
  </r>
  <r>
    <x v="189"/>
    <s v="1-800-557-5783"/>
    <s v="consectetuer@yahoo.net"/>
    <x v="189"/>
    <x v="40"/>
    <x v="29"/>
    <n v="78"/>
    <n v="63779.9"/>
    <x v="1"/>
    <x v="175"/>
    <n v="11.28"/>
    <n v="40.5"/>
  </r>
  <r>
    <x v="190"/>
    <s v="1-223-542-7868"/>
    <s v="aliquam.auctor.velit@icloud.co.uk"/>
    <x v="190"/>
    <x v="44"/>
    <x v="0"/>
    <n v="95"/>
    <n v="54071.839999999997"/>
    <x v="0"/>
    <x v="176"/>
    <n v="23.768000000000001"/>
    <n v="30.66"/>
  </r>
  <r>
    <x v="191"/>
    <s v="1-295-440-1832"/>
    <s v="magna.malesuada@google.edu"/>
    <x v="191"/>
    <x v="159"/>
    <x v="20"/>
    <n v="374"/>
    <n v="37203.35"/>
    <x v="1"/>
    <x v="177"/>
    <n v="8.6289999999999996"/>
    <n v="97.02"/>
  </r>
  <r>
    <x v="192"/>
    <s v="1-382-377-6634"/>
    <s v="ac@outlook.ca"/>
    <x v="192"/>
    <x v="101"/>
    <x v="22"/>
    <n v="224"/>
    <n v="50739.62"/>
    <x v="1"/>
    <x v="178"/>
    <n v="29.312000000000001"/>
    <n v="83.58"/>
  </r>
  <r>
    <x v="193"/>
    <s v="(282) 722-6958"/>
    <s v="enim.suspendisse.aliquet@google.edu"/>
    <x v="193"/>
    <x v="160"/>
    <x v="7"/>
    <n v="350"/>
    <n v="38061.58"/>
    <x v="0"/>
    <x v="179"/>
    <n v="3.1629999999999998"/>
    <n v="55.49"/>
  </r>
  <r>
    <x v="194"/>
    <s v="1-542-112-9464"/>
    <s v="luctus.et.ultrices@icloud.edu"/>
    <x v="194"/>
    <x v="102"/>
    <x v="7"/>
    <n v="77"/>
    <n v="26129.51"/>
    <x v="0"/>
    <x v="180"/>
    <n v="13.414"/>
    <n v="67.290000000000006"/>
  </r>
  <r>
    <x v="195"/>
    <s v="1-453-366-4122"/>
    <s v="urna.nullam@protonmail.co.uk"/>
    <x v="195"/>
    <x v="79"/>
    <x v="33"/>
    <n v="45"/>
    <n v="23005.3"/>
    <x v="0"/>
    <x v="181"/>
    <n v="8.7829999999999995"/>
    <n v="43.91"/>
  </r>
  <r>
    <x v="196"/>
    <s v="(627) 261-2534"/>
    <s v="mollis.dui@aol.co.uk"/>
    <x v="196"/>
    <x v="161"/>
    <x v="33"/>
    <n v="436"/>
    <n v="4118.1499999999996"/>
    <x v="1"/>
    <x v="182"/>
    <n v="7.0019999999999998"/>
    <n v="68.760000000000005"/>
  </r>
  <r>
    <x v="197"/>
    <s v="1-343-344-4187"/>
    <s v="nulla@icloud.co.uk"/>
    <x v="197"/>
    <x v="162"/>
    <x v="0"/>
    <n v="37"/>
    <n v="42659.75"/>
    <x v="1"/>
    <x v="183"/>
    <n v="10.666"/>
    <n v="24.87"/>
  </r>
  <r>
    <x v="198"/>
    <s v="1-445-801-9496"/>
    <s v="at.nisi@hotmail.ca"/>
    <x v="198"/>
    <x v="163"/>
    <x v="16"/>
    <n v="271"/>
    <n v="40457.550000000003"/>
    <x v="1"/>
    <x v="184"/>
    <n v="14.314"/>
    <n v="14.01"/>
  </r>
  <r>
    <x v="199"/>
    <s v="(813) 318-7041"/>
    <s v="tellus@icloud.org"/>
    <x v="199"/>
    <x v="70"/>
    <x v="22"/>
    <n v="322"/>
    <n v="30979.24"/>
    <x v="0"/>
    <x v="185"/>
    <n v="15.427"/>
    <n v="50.4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3A59F0-BFB0-4B1E-88C2-12993252B036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Y3:AB168" firstHeaderRow="0" firstDataRow="1" firstDataCol="1"/>
  <pivotFields count="16">
    <pivotField showAll="0">
      <items count="201">
        <item x="143"/>
        <item x="185"/>
        <item x="60"/>
        <item x="93"/>
        <item x="37"/>
        <item x="145"/>
        <item x="190"/>
        <item x="54"/>
        <item x="199"/>
        <item x="94"/>
        <item x="188"/>
        <item x="91"/>
        <item x="123"/>
        <item x="18"/>
        <item x="137"/>
        <item x="174"/>
        <item x="10"/>
        <item x="140"/>
        <item x="50"/>
        <item x="122"/>
        <item x="4"/>
        <item x="9"/>
        <item x="28"/>
        <item x="111"/>
        <item x="125"/>
        <item x="49"/>
        <item x="183"/>
        <item x="192"/>
        <item x="126"/>
        <item x="7"/>
        <item x="2"/>
        <item x="107"/>
        <item x="191"/>
        <item x="25"/>
        <item x="149"/>
        <item x="1"/>
        <item x="106"/>
        <item x="63"/>
        <item x="76"/>
        <item x="152"/>
        <item x="30"/>
        <item x="56"/>
        <item x="99"/>
        <item x="70"/>
        <item x="139"/>
        <item x="102"/>
        <item x="85"/>
        <item x="184"/>
        <item x="101"/>
        <item x="178"/>
        <item x="8"/>
        <item x="110"/>
        <item x="96"/>
        <item x="62"/>
        <item x="11"/>
        <item x="196"/>
        <item x="172"/>
        <item x="142"/>
        <item x="148"/>
        <item x="155"/>
        <item x="133"/>
        <item x="114"/>
        <item x="22"/>
        <item x="193"/>
        <item x="156"/>
        <item x="100"/>
        <item x="167"/>
        <item x="186"/>
        <item x="162"/>
        <item x="47"/>
        <item x="151"/>
        <item x="165"/>
        <item x="88"/>
        <item x="41"/>
        <item x="36"/>
        <item x="144"/>
        <item x="13"/>
        <item x="83"/>
        <item x="109"/>
        <item x="177"/>
        <item x="98"/>
        <item x="113"/>
        <item x="180"/>
        <item x="26"/>
        <item x="103"/>
        <item x="74"/>
        <item x="124"/>
        <item x="43"/>
        <item x="97"/>
        <item x="81"/>
        <item x="175"/>
        <item x="154"/>
        <item x="197"/>
        <item x="150"/>
        <item x="131"/>
        <item x="170"/>
        <item x="164"/>
        <item x="31"/>
        <item x="95"/>
        <item x="87"/>
        <item x="17"/>
        <item x="181"/>
        <item x="104"/>
        <item x="15"/>
        <item x="61"/>
        <item x="92"/>
        <item x="78"/>
        <item x="73"/>
        <item x="6"/>
        <item x="12"/>
        <item x="105"/>
        <item x="21"/>
        <item x="80"/>
        <item x="67"/>
        <item x="16"/>
        <item x="53"/>
        <item x="51"/>
        <item x="38"/>
        <item x="58"/>
        <item x="84"/>
        <item x="171"/>
        <item x="112"/>
        <item x="194"/>
        <item x="116"/>
        <item x="0"/>
        <item x="29"/>
        <item x="119"/>
        <item x="138"/>
        <item x="128"/>
        <item x="34"/>
        <item x="147"/>
        <item x="45"/>
        <item x="158"/>
        <item x="65"/>
        <item x="157"/>
        <item x="189"/>
        <item x="115"/>
        <item x="120"/>
        <item x="59"/>
        <item x="52"/>
        <item x="35"/>
        <item x="121"/>
        <item x="90"/>
        <item x="75"/>
        <item x="168"/>
        <item x="69"/>
        <item x="195"/>
        <item x="68"/>
        <item x="129"/>
        <item x="40"/>
        <item x="179"/>
        <item x="72"/>
        <item x="46"/>
        <item x="160"/>
        <item x="187"/>
        <item x="134"/>
        <item x="146"/>
        <item x="14"/>
        <item x="3"/>
        <item x="117"/>
        <item x="127"/>
        <item x="130"/>
        <item x="108"/>
        <item x="5"/>
        <item x="55"/>
        <item x="166"/>
        <item x="48"/>
        <item x="39"/>
        <item x="136"/>
        <item x="66"/>
        <item x="32"/>
        <item x="20"/>
        <item x="42"/>
        <item x="86"/>
        <item x="77"/>
        <item x="33"/>
        <item x="153"/>
        <item x="19"/>
        <item x="89"/>
        <item x="141"/>
        <item x="82"/>
        <item x="118"/>
        <item x="159"/>
        <item x="182"/>
        <item x="173"/>
        <item x="24"/>
        <item x="57"/>
        <item x="71"/>
        <item x="198"/>
        <item x="135"/>
        <item x="64"/>
        <item x="79"/>
        <item x="169"/>
        <item x="44"/>
        <item x="163"/>
        <item x="27"/>
        <item x="23"/>
        <item x="161"/>
        <item x="176"/>
        <item x="132"/>
        <item t="default"/>
      </items>
    </pivotField>
    <pivotField showAll="0"/>
    <pivotField showAll="0"/>
    <pivotField showAll="0"/>
    <pivotField axis="axisRow" showAll="0" countASubtotal="1" avgSubtotal="1">
      <items count="166">
        <item x="63"/>
        <item x="45"/>
        <item x="155"/>
        <item x="40"/>
        <item x="1"/>
        <item x="124"/>
        <item x="110"/>
        <item x="138"/>
        <item x="162"/>
        <item x="37"/>
        <item x="107"/>
        <item x="142"/>
        <item x="156"/>
        <item x="152"/>
        <item x="30"/>
        <item x="97"/>
        <item x="0"/>
        <item x="31"/>
        <item x="136"/>
        <item x="51"/>
        <item x="130"/>
        <item x="95"/>
        <item x="24"/>
        <item x="76"/>
        <item x="27"/>
        <item x="39"/>
        <item x="74"/>
        <item x="23"/>
        <item x="126"/>
        <item x="28"/>
        <item x="41"/>
        <item x="146"/>
        <item x="9"/>
        <item x="15"/>
        <item x="60"/>
        <item x="94"/>
        <item x="159"/>
        <item x="112"/>
        <item x="16"/>
        <item x="158"/>
        <item x="42"/>
        <item x="106"/>
        <item x="10"/>
        <item x="105"/>
        <item x="21"/>
        <item x="86"/>
        <item x="117"/>
        <item x="75"/>
        <item x="102"/>
        <item x="26"/>
        <item x="145"/>
        <item x="154"/>
        <item x="133"/>
        <item x="82"/>
        <item x="114"/>
        <item x="128"/>
        <item x="69"/>
        <item x="67"/>
        <item x="25"/>
        <item x="35"/>
        <item x="88"/>
        <item x="84"/>
        <item x="18"/>
        <item x="13"/>
        <item x="22"/>
        <item x="122"/>
        <item x="55"/>
        <item x="66"/>
        <item x="61"/>
        <item x="77"/>
        <item x="68"/>
        <item x="129"/>
        <item x="108"/>
        <item x="100"/>
        <item x="92"/>
        <item x="93"/>
        <item x="140"/>
        <item x="33"/>
        <item x="111"/>
        <item x="144"/>
        <item x="6"/>
        <item x="32"/>
        <item x="120"/>
        <item x="71"/>
        <item x="72"/>
        <item x="52"/>
        <item x="70"/>
        <item x="116"/>
        <item x="36"/>
        <item x="121"/>
        <item x="151"/>
        <item x="62"/>
        <item x="123"/>
        <item x="163"/>
        <item x="147"/>
        <item x="96"/>
        <item x="46"/>
        <item x="104"/>
        <item x="98"/>
        <item x="83"/>
        <item x="59"/>
        <item x="81"/>
        <item x="141"/>
        <item x="7"/>
        <item x="3"/>
        <item x="38"/>
        <item x="90"/>
        <item x="50"/>
        <item x="5"/>
        <item x="137"/>
        <item x="79"/>
        <item x="11"/>
        <item x="12"/>
        <item x="118"/>
        <item x="109"/>
        <item x="103"/>
        <item x="99"/>
        <item x="19"/>
        <item x="56"/>
        <item x="149"/>
        <item x="65"/>
        <item x="29"/>
        <item x="134"/>
        <item x="2"/>
        <item x="4"/>
        <item x="14"/>
        <item x="8"/>
        <item x="58"/>
        <item x="153"/>
        <item x="20"/>
        <item x="127"/>
        <item x="135"/>
        <item x="54"/>
        <item x="49"/>
        <item x="115"/>
        <item x="157"/>
        <item x="73"/>
        <item x="89"/>
        <item x="160"/>
        <item x="48"/>
        <item x="125"/>
        <item x="148"/>
        <item x="131"/>
        <item x="44"/>
        <item x="47"/>
        <item x="53"/>
        <item x="17"/>
        <item x="113"/>
        <item x="78"/>
        <item x="43"/>
        <item x="91"/>
        <item x="85"/>
        <item x="139"/>
        <item x="80"/>
        <item x="161"/>
        <item x="34"/>
        <item x="101"/>
        <item x="57"/>
        <item x="150"/>
        <item x="119"/>
        <item x="143"/>
        <item x="87"/>
        <item x="132"/>
        <item x="64"/>
        <item t="countA"/>
        <item t="avg"/>
      </items>
    </pivotField>
    <pivotField showAll="0"/>
    <pivotField showAll="0"/>
    <pivotField dataField="1" numFmtId="164" showAll="0"/>
    <pivotField showAll="0"/>
    <pivotField numFmtId="14" showAll="0">
      <items count="187">
        <item x="62"/>
        <item x="63"/>
        <item x="127"/>
        <item x="88"/>
        <item x="114"/>
        <item x="159"/>
        <item x="107"/>
        <item x="14"/>
        <item x="17"/>
        <item x="64"/>
        <item x="129"/>
        <item x="47"/>
        <item x="46"/>
        <item x="183"/>
        <item x="66"/>
        <item x="59"/>
        <item x="163"/>
        <item x="60"/>
        <item x="81"/>
        <item x="80"/>
        <item x="7"/>
        <item x="3"/>
        <item x="154"/>
        <item x="32"/>
        <item x="23"/>
        <item x="152"/>
        <item x="101"/>
        <item x="89"/>
        <item x="50"/>
        <item x="140"/>
        <item x="120"/>
        <item x="42"/>
        <item x="38"/>
        <item x="39"/>
        <item x="110"/>
        <item x="33"/>
        <item x="96"/>
        <item x="145"/>
        <item x="136"/>
        <item x="24"/>
        <item x="28"/>
        <item x="52"/>
        <item x="67"/>
        <item x="115"/>
        <item x="76"/>
        <item x="56"/>
        <item x="157"/>
        <item x="170"/>
        <item x="51"/>
        <item x="119"/>
        <item x="21"/>
        <item x="99"/>
        <item x="53"/>
        <item x="71"/>
        <item x="169"/>
        <item x="142"/>
        <item x="26"/>
        <item x="58"/>
        <item x="22"/>
        <item x="84"/>
        <item x="68"/>
        <item x="121"/>
        <item x="20"/>
        <item x="174"/>
        <item x="27"/>
        <item x="161"/>
        <item x="30"/>
        <item x="9"/>
        <item x="104"/>
        <item x="94"/>
        <item x="1"/>
        <item x="11"/>
        <item x="178"/>
        <item x="37"/>
        <item x="171"/>
        <item x="29"/>
        <item x="122"/>
        <item x="162"/>
        <item x="139"/>
        <item x="82"/>
        <item x="144"/>
        <item x="78"/>
        <item x="175"/>
        <item x="143"/>
        <item x="103"/>
        <item x="176"/>
        <item x="61"/>
        <item x="172"/>
        <item x="181"/>
        <item x="124"/>
        <item x="18"/>
        <item x="149"/>
        <item x="12"/>
        <item x="151"/>
        <item x="73"/>
        <item x="118"/>
        <item x="150"/>
        <item x="5"/>
        <item x="167"/>
        <item x="132"/>
        <item x="106"/>
        <item x="41"/>
        <item x="180"/>
        <item x="25"/>
        <item x="83"/>
        <item x="92"/>
        <item x="147"/>
        <item x="4"/>
        <item x="0"/>
        <item x="138"/>
        <item x="91"/>
        <item x="75"/>
        <item x="113"/>
        <item x="160"/>
        <item x="34"/>
        <item x="86"/>
        <item x="44"/>
        <item x="125"/>
        <item x="177"/>
        <item x="74"/>
        <item x="70"/>
        <item x="79"/>
        <item x="153"/>
        <item x="148"/>
        <item x="158"/>
        <item x="134"/>
        <item x="16"/>
        <item x="45"/>
        <item x="111"/>
        <item x="87"/>
        <item x="57"/>
        <item x="69"/>
        <item x="133"/>
        <item x="95"/>
        <item x="90"/>
        <item x="10"/>
        <item x="109"/>
        <item x="168"/>
        <item x="49"/>
        <item x="123"/>
        <item x="40"/>
        <item x="182"/>
        <item x="93"/>
        <item x="146"/>
        <item x="100"/>
        <item x="72"/>
        <item x="173"/>
        <item x="77"/>
        <item x="2"/>
        <item x="141"/>
        <item x="130"/>
        <item x="105"/>
        <item x="102"/>
        <item x="15"/>
        <item x="165"/>
        <item x="97"/>
        <item x="116"/>
        <item x="98"/>
        <item x="117"/>
        <item x="85"/>
        <item x="135"/>
        <item x="179"/>
        <item x="54"/>
        <item x="13"/>
        <item x="35"/>
        <item x="48"/>
        <item x="184"/>
        <item x="65"/>
        <item x="128"/>
        <item x="36"/>
        <item x="156"/>
        <item x="164"/>
        <item x="6"/>
        <item x="166"/>
        <item x="126"/>
        <item x="131"/>
        <item x="31"/>
        <item x="112"/>
        <item x="137"/>
        <item x="8"/>
        <item x="43"/>
        <item x="185"/>
        <item x="19"/>
        <item x="155"/>
        <item x="108"/>
        <item x="55"/>
        <item t="default"/>
      </items>
    </pivotField>
    <pivotField numFmtId="43" showAll="0"/>
    <pivotField numFmtId="43" showAll="0"/>
    <pivotField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</pivotFields>
  <rowFields count="1">
    <field x="4"/>
  </rowFields>
  <rowItems count="16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OrderValue" fld="7" baseField="4" baseItem="0"/>
    <dataField name="Average of OrderValue2" fld="7" subtotal="average" baseField="4" baseItem="163"/>
    <dataField name="Count of OrderValue2" fld="7" subtotal="count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386F7F-46BB-4E10-B271-29A12B9974D5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3:P241" firstHeaderRow="1" firstDataRow="3" firstDataCol="1"/>
  <pivotFields count="16">
    <pivotField showAll="0"/>
    <pivotField showAll="0"/>
    <pivotField showAll="0"/>
    <pivotField showAll="0"/>
    <pivotField axis="axisRow" showAll="0">
      <items count="165">
        <item x="63"/>
        <item x="45"/>
        <item x="155"/>
        <item x="40"/>
        <item x="1"/>
        <item x="124"/>
        <item x="110"/>
        <item x="138"/>
        <item x="162"/>
        <item x="37"/>
        <item x="107"/>
        <item x="142"/>
        <item x="156"/>
        <item x="152"/>
        <item x="30"/>
        <item x="97"/>
        <item x="0"/>
        <item x="31"/>
        <item x="136"/>
        <item x="51"/>
        <item x="130"/>
        <item x="95"/>
        <item x="24"/>
        <item x="76"/>
        <item x="27"/>
        <item x="39"/>
        <item x="74"/>
        <item x="23"/>
        <item x="126"/>
        <item x="28"/>
        <item x="41"/>
        <item x="146"/>
        <item x="9"/>
        <item x="15"/>
        <item x="60"/>
        <item x="94"/>
        <item x="159"/>
        <item x="112"/>
        <item x="16"/>
        <item x="158"/>
        <item x="42"/>
        <item x="106"/>
        <item x="10"/>
        <item x="105"/>
        <item x="21"/>
        <item x="86"/>
        <item x="117"/>
        <item x="75"/>
        <item x="102"/>
        <item x="26"/>
        <item x="145"/>
        <item x="154"/>
        <item x="133"/>
        <item x="82"/>
        <item x="114"/>
        <item x="128"/>
        <item x="69"/>
        <item x="67"/>
        <item x="25"/>
        <item x="35"/>
        <item x="88"/>
        <item x="84"/>
        <item x="18"/>
        <item x="13"/>
        <item x="22"/>
        <item x="122"/>
        <item x="55"/>
        <item x="66"/>
        <item x="61"/>
        <item x="77"/>
        <item x="68"/>
        <item x="129"/>
        <item x="108"/>
        <item x="100"/>
        <item x="92"/>
        <item x="93"/>
        <item x="140"/>
        <item x="33"/>
        <item x="111"/>
        <item x="144"/>
        <item x="6"/>
        <item x="32"/>
        <item x="120"/>
        <item x="71"/>
        <item x="72"/>
        <item x="52"/>
        <item x="70"/>
        <item x="116"/>
        <item x="36"/>
        <item x="121"/>
        <item x="151"/>
        <item x="62"/>
        <item x="123"/>
        <item x="163"/>
        <item x="147"/>
        <item x="96"/>
        <item x="46"/>
        <item x="104"/>
        <item x="98"/>
        <item x="83"/>
        <item x="59"/>
        <item x="81"/>
        <item x="141"/>
        <item x="7"/>
        <item x="3"/>
        <item x="38"/>
        <item x="90"/>
        <item x="50"/>
        <item x="5"/>
        <item x="137"/>
        <item x="79"/>
        <item x="11"/>
        <item x="12"/>
        <item x="118"/>
        <item x="109"/>
        <item x="103"/>
        <item x="99"/>
        <item x="19"/>
        <item x="56"/>
        <item x="149"/>
        <item x="65"/>
        <item x="29"/>
        <item x="134"/>
        <item x="2"/>
        <item x="4"/>
        <item x="14"/>
        <item x="8"/>
        <item x="58"/>
        <item x="153"/>
        <item x="20"/>
        <item x="127"/>
        <item x="135"/>
        <item x="54"/>
        <item x="49"/>
        <item x="115"/>
        <item x="157"/>
        <item x="73"/>
        <item x="89"/>
        <item x="160"/>
        <item x="48"/>
        <item x="125"/>
        <item x="148"/>
        <item x="131"/>
        <item x="44"/>
        <item x="47"/>
        <item x="53"/>
        <item x="17"/>
        <item x="113"/>
        <item x="78"/>
        <item x="43"/>
        <item x="91"/>
        <item x="85"/>
        <item x="139"/>
        <item x="80"/>
        <item x="161"/>
        <item x="34"/>
        <item x="101"/>
        <item x="57"/>
        <item x="150"/>
        <item x="119"/>
        <item x="143"/>
        <item x="87"/>
        <item x="132"/>
        <item x="64"/>
        <item t="default"/>
      </items>
    </pivotField>
    <pivotField axis="axisRow" showAll="0">
      <items count="36">
        <item x="11"/>
        <item x="6"/>
        <item x="29"/>
        <item x="18"/>
        <item x="12"/>
        <item x="31"/>
        <item x="27"/>
        <item x="21"/>
        <item x="28"/>
        <item x="3"/>
        <item x="33"/>
        <item x="15"/>
        <item x="25"/>
        <item x="23"/>
        <item x="22"/>
        <item x="34"/>
        <item x="0"/>
        <item x="32"/>
        <item x="10"/>
        <item x="30"/>
        <item x="26"/>
        <item x="9"/>
        <item x="7"/>
        <item x="16"/>
        <item x="2"/>
        <item x="5"/>
        <item x="4"/>
        <item x="13"/>
        <item x="8"/>
        <item x="17"/>
        <item x="24"/>
        <item x="19"/>
        <item x="1"/>
        <item x="20"/>
        <item x="14"/>
        <item t="default"/>
      </items>
    </pivotField>
    <pivotField showAll="0"/>
    <pivotField dataField="1" numFmtId="164" showAll="0"/>
    <pivotField axis="axisCol" showAll="0">
      <items count="3">
        <item x="1"/>
        <item x="0"/>
        <item t="default"/>
      </items>
    </pivotField>
    <pivotField numFmtId="14" showAll="0">
      <items count="187">
        <item x="62"/>
        <item x="63"/>
        <item x="127"/>
        <item x="88"/>
        <item x="114"/>
        <item x="159"/>
        <item x="107"/>
        <item x="14"/>
        <item x="17"/>
        <item x="64"/>
        <item x="129"/>
        <item x="47"/>
        <item x="46"/>
        <item x="183"/>
        <item x="66"/>
        <item x="59"/>
        <item x="163"/>
        <item x="60"/>
        <item x="81"/>
        <item x="80"/>
        <item x="7"/>
        <item x="3"/>
        <item x="154"/>
        <item x="32"/>
        <item x="23"/>
        <item x="152"/>
        <item x="101"/>
        <item x="89"/>
        <item x="50"/>
        <item x="140"/>
        <item x="120"/>
        <item x="42"/>
        <item x="38"/>
        <item x="39"/>
        <item x="110"/>
        <item x="33"/>
        <item x="96"/>
        <item x="145"/>
        <item x="136"/>
        <item x="24"/>
        <item x="28"/>
        <item x="52"/>
        <item x="67"/>
        <item x="115"/>
        <item x="76"/>
        <item x="56"/>
        <item x="157"/>
        <item x="170"/>
        <item x="51"/>
        <item x="119"/>
        <item x="21"/>
        <item x="99"/>
        <item x="53"/>
        <item x="71"/>
        <item x="169"/>
        <item x="142"/>
        <item x="26"/>
        <item x="58"/>
        <item x="22"/>
        <item x="84"/>
        <item x="68"/>
        <item x="121"/>
        <item x="20"/>
        <item x="174"/>
        <item x="27"/>
        <item x="161"/>
        <item x="30"/>
        <item x="9"/>
        <item x="104"/>
        <item x="94"/>
        <item x="1"/>
        <item x="11"/>
        <item x="178"/>
        <item x="37"/>
        <item x="171"/>
        <item x="29"/>
        <item x="122"/>
        <item x="162"/>
        <item x="139"/>
        <item x="82"/>
        <item x="144"/>
        <item x="78"/>
        <item x="175"/>
        <item x="143"/>
        <item x="103"/>
        <item x="176"/>
        <item x="61"/>
        <item x="172"/>
        <item x="181"/>
        <item x="124"/>
        <item x="18"/>
        <item x="149"/>
        <item x="12"/>
        <item x="151"/>
        <item x="73"/>
        <item x="118"/>
        <item x="150"/>
        <item x="5"/>
        <item x="167"/>
        <item x="132"/>
        <item x="106"/>
        <item x="41"/>
        <item x="180"/>
        <item x="25"/>
        <item x="83"/>
        <item x="92"/>
        <item x="147"/>
        <item x="4"/>
        <item x="0"/>
        <item x="138"/>
        <item x="91"/>
        <item x="75"/>
        <item x="113"/>
        <item x="160"/>
        <item x="34"/>
        <item x="86"/>
        <item x="44"/>
        <item x="125"/>
        <item x="177"/>
        <item x="74"/>
        <item x="70"/>
        <item x="79"/>
        <item x="153"/>
        <item x="148"/>
        <item x="158"/>
        <item x="134"/>
        <item x="16"/>
        <item x="45"/>
        <item x="111"/>
        <item x="87"/>
        <item x="57"/>
        <item x="69"/>
        <item x="133"/>
        <item x="95"/>
        <item x="90"/>
        <item x="10"/>
        <item x="109"/>
        <item x="168"/>
        <item x="49"/>
        <item x="123"/>
        <item x="40"/>
        <item x="182"/>
        <item x="93"/>
        <item x="146"/>
        <item x="100"/>
        <item x="72"/>
        <item x="173"/>
        <item x="77"/>
        <item x="2"/>
        <item x="141"/>
        <item x="130"/>
        <item x="105"/>
        <item x="102"/>
        <item x="15"/>
        <item x="165"/>
        <item x="97"/>
        <item x="116"/>
        <item x="98"/>
        <item x="117"/>
        <item x="85"/>
        <item x="135"/>
        <item x="179"/>
        <item x="54"/>
        <item x="13"/>
        <item x="35"/>
        <item x="48"/>
        <item x="184"/>
        <item x="65"/>
        <item x="128"/>
        <item x="36"/>
        <item x="156"/>
        <item x="164"/>
        <item x="6"/>
        <item x="166"/>
        <item x="126"/>
        <item x="131"/>
        <item x="31"/>
        <item x="112"/>
        <item x="137"/>
        <item x="8"/>
        <item x="43"/>
        <item x="185"/>
        <item x="19"/>
        <item x="155"/>
        <item x="108"/>
        <item x="55"/>
        <item t="default"/>
      </items>
    </pivotField>
    <pivotField numFmtId="43" showAll="0"/>
    <pivotField numFmtId="43" showAll="0"/>
    <pivotField dataField="1"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</pivotFields>
  <rowFields count="2">
    <field x="5"/>
    <field x="4"/>
  </rowFields>
  <rowItems count="236">
    <i>
      <x/>
    </i>
    <i r="1">
      <x v="40"/>
    </i>
    <i r="1">
      <x v="91"/>
    </i>
    <i r="1">
      <x v="111"/>
    </i>
    <i r="1">
      <x v="112"/>
    </i>
    <i r="1">
      <x v="139"/>
    </i>
    <i>
      <x v="1"/>
    </i>
    <i r="1">
      <x v="55"/>
    </i>
    <i r="1">
      <x v="79"/>
    </i>
    <i r="1">
      <x v="80"/>
    </i>
    <i r="1">
      <x v="87"/>
    </i>
    <i r="1">
      <x v="90"/>
    </i>
    <i r="1">
      <x v="142"/>
    </i>
    <i r="1">
      <x v="156"/>
    </i>
    <i>
      <x v="2"/>
    </i>
    <i r="1">
      <x v="3"/>
    </i>
    <i r="1">
      <x v="11"/>
    </i>
    <i r="1">
      <x v="48"/>
    </i>
    <i r="1">
      <x v="61"/>
    </i>
    <i r="1">
      <x v="121"/>
    </i>
    <i r="1">
      <x v="126"/>
    </i>
    <i>
      <x v="3"/>
    </i>
    <i r="1">
      <x v="44"/>
    </i>
    <i r="1">
      <x v="65"/>
    </i>
    <i>
      <x v="4"/>
    </i>
    <i r="1">
      <x v="25"/>
    </i>
    <i r="1">
      <x v="41"/>
    </i>
    <i r="1">
      <x v="63"/>
    </i>
    <i r="1">
      <x v="67"/>
    </i>
    <i r="1">
      <x v="74"/>
    </i>
    <i r="1">
      <x v="88"/>
    </i>
    <i r="1">
      <x v="140"/>
    </i>
    <i r="1">
      <x v="157"/>
    </i>
    <i>
      <x v="5"/>
    </i>
    <i r="1">
      <x v="69"/>
    </i>
    <i r="1">
      <x v="73"/>
    </i>
    <i>
      <x v="6"/>
    </i>
    <i r="1">
      <x v="18"/>
    </i>
    <i r="1">
      <x v="145"/>
    </i>
    <i>
      <x v="7"/>
    </i>
    <i r="1">
      <x v="17"/>
    </i>
    <i r="1">
      <x v="20"/>
    </i>
    <i r="1">
      <x v="160"/>
    </i>
    <i>
      <x v="8"/>
    </i>
    <i r="1">
      <x v="50"/>
    </i>
    <i r="1">
      <x v="96"/>
    </i>
    <i r="1">
      <x v="127"/>
    </i>
    <i r="1">
      <x v="132"/>
    </i>
    <i>
      <x v="9"/>
    </i>
    <i r="1">
      <x v="3"/>
    </i>
    <i r="1">
      <x v="23"/>
    </i>
    <i r="1">
      <x v="96"/>
    </i>
    <i r="1">
      <x v="104"/>
    </i>
    <i>
      <x v="10"/>
    </i>
    <i r="1">
      <x v="20"/>
    </i>
    <i r="1">
      <x v="58"/>
    </i>
    <i r="1">
      <x v="102"/>
    </i>
    <i r="1">
      <x v="108"/>
    </i>
    <i r="1">
      <x v="110"/>
    </i>
    <i r="1">
      <x v="154"/>
    </i>
    <i>
      <x v="11"/>
    </i>
    <i r="1">
      <x v="3"/>
    </i>
    <i r="1">
      <x v="10"/>
    </i>
    <i r="1">
      <x v="12"/>
    </i>
    <i r="1">
      <x v="43"/>
    </i>
    <i r="1">
      <x v="72"/>
    </i>
    <i r="1">
      <x v="88"/>
    </i>
    <i r="1">
      <x v="134"/>
    </i>
    <i r="1">
      <x v="146"/>
    </i>
    <i>
      <x v="12"/>
    </i>
    <i r="1">
      <x v="1"/>
    </i>
    <i r="1">
      <x v="35"/>
    </i>
    <i r="1">
      <x v="127"/>
    </i>
    <i r="1">
      <x v="148"/>
    </i>
    <i r="1">
      <x v="153"/>
    </i>
    <i>
      <x v="13"/>
    </i>
    <i r="1">
      <x v="7"/>
    </i>
    <i r="1">
      <x v="15"/>
    </i>
    <i r="1">
      <x v="28"/>
    </i>
    <i r="1">
      <x v="30"/>
    </i>
    <i r="1">
      <x v="122"/>
    </i>
    <i r="1">
      <x v="147"/>
    </i>
    <i>
      <x v="14"/>
    </i>
    <i r="1">
      <x v="26"/>
    </i>
    <i r="1">
      <x v="51"/>
    </i>
    <i r="1">
      <x v="86"/>
    </i>
    <i r="1">
      <x v="94"/>
    </i>
    <i r="1">
      <x v="95"/>
    </i>
    <i r="1">
      <x v="105"/>
    </i>
    <i r="1">
      <x v="128"/>
    </i>
    <i r="1">
      <x v="156"/>
    </i>
    <i>
      <x v="15"/>
    </i>
    <i r="1">
      <x v="7"/>
    </i>
    <i>
      <x v="16"/>
    </i>
    <i r="1">
      <x v="8"/>
    </i>
    <i r="1">
      <x v="16"/>
    </i>
    <i r="1">
      <x v="27"/>
    </i>
    <i r="1">
      <x v="30"/>
    </i>
    <i r="1">
      <x v="37"/>
    </i>
    <i r="1">
      <x v="60"/>
    </i>
    <i r="1">
      <x v="143"/>
    </i>
    <i r="1">
      <x v="152"/>
    </i>
    <i>
      <x v="17"/>
    </i>
    <i r="1">
      <x v="71"/>
    </i>
    <i>
      <x v="18"/>
    </i>
    <i r="1">
      <x v="42"/>
    </i>
    <i r="1">
      <x v="78"/>
    </i>
    <i r="1">
      <x v="119"/>
    </i>
    <i r="1">
      <x v="161"/>
    </i>
    <i>
      <x v="19"/>
    </i>
    <i r="1">
      <x v="13"/>
    </i>
    <i r="1">
      <x v="47"/>
    </i>
    <i r="1">
      <x v="52"/>
    </i>
    <i r="1">
      <x v="84"/>
    </i>
    <i r="1">
      <x v="113"/>
    </i>
    <i>
      <x v="20"/>
    </i>
    <i r="1">
      <x v="5"/>
    </i>
    <i r="1">
      <x v="82"/>
    </i>
    <i r="1">
      <x v="114"/>
    </i>
    <i r="1">
      <x v="131"/>
    </i>
    <i r="1">
      <x v="133"/>
    </i>
    <i>
      <x v="21"/>
    </i>
    <i r="1">
      <x v="32"/>
    </i>
    <i r="1">
      <x v="33"/>
    </i>
    <i r="1">
      <x v="40"/>
    </i>
    <i r="1">
      <x v="75"/>
    </i>
    <i r="1">
      <x v="77"/>
    </i>
    <i r="1">
      <x v="109"/>
    </i>
    <i r="1">
      <x v="116"/>
    </i>
    <i r="1">
      <x v="149"/>
    </i>
    <i r="1">
      <x v="150"/>
    </i>
    <i>
      <x v="22"/>
    </i>
    <i r="1">
      <x v="46"/>
    </i>
    <i r="1">
      <x v="48"/>
    </i>
    <i r="1">
      <x v="70"/>
    </i>
    <i r="1">
      <x v="86"/>
    </i>
    <i r="1">
      <x v="95"/>
    </i>
    <i r="1">
      <x v="103"/>
    </i>
    <i r="1">
      <x v="107"/>
    </i>
    <i r="1">
      <x v="110"/>
    </i>
    <i r="1">
      <x v="121"/>
    </i>
    <i r="1">
      <x v="138"/>
    </i>
    <i>
      <x v="23"/>
    </i>
    <i r="1">
      <x v="54"/>
    </i>
    <i r="1">
      <x v="62"/>
    </i>
    <i r="1">
      <x v="93"/>
    </i>
    <i r="1">
      <x v="100"/>
    </i>
    <i r="1">
      <x v="120"/>
    </i>
    <i r="1">
      <x v="133"/>
    </i>
    <i r="1">
      <x v="155"/>
    </i>
    <i>
      <x v="24"/>
    </i>
    <i r="1">
      <x v="31"/>
    </i>
    <i r="1">
      <x v="45"/>
    </i>
    <i r="1">
      <x v="57"/>
    </i>
    <i r="1">
      <x v="81"/>
    </i>
    <i r="1">
      <x v="95"/>
    </i>
    <i r="1">
      <x v="121"/>
    </i>
    <i r="1">
      <x v="123"/>
    </i>
    <i r="1">
      <x v="127"/>
    </i>
    <i r="1">
      <x v="140"/>
    </i>
    <i r="1">
      <x v="159"/>
    </i>
    <i>
      <x v="25"/>
    </i>
    <i r="1">
      <x v="14"/>
    </i>
    <i r="1">
      <x v="19"/>
    </i>
    <i r="1">
      <x v="22"/>
    </i>
    <i r="1">
      <x v="39"/>
    </i>
    <i r="1">
      <x v="59"/>
    </i>
    <i r="1">
      <x v="99"/>
    </i>
    <i r="1">
      <x v="108"/>
    </i>
    <i r="1">
      <x v="149"/>
    </i>
    <i>
      <x v="26"/>
    </i>
    <i r="1">
      <x v="19"/>
    </i>
    <i r="1">
      <x v="66"/>
    </i>
    <i r="1">
      <x v="76"/>
    </i>
    <i r="1">
      <x v="124"/>
    </i>
    <i r="1">
      <x v="162"/>
    </i>
    <i>
      <x v="27"/>
    </i>
    <i r="1">
      <x v="6"/>
    </i>
    <i r="1">
      <x v="9"/>
    </i>
    <i r="1">
      <x v="125"/>
    </i>
    <i r="1">
      <x v="143"/>
    </i>
    <i r="1">
      <x v="144"/>
    </i>
    <i r="1">
      <x v="146"/>
    </i>
    <i>
      <x v="28"/>
    </i>
    <i r="1">
      <x v="64"/>
    </i>
    <i r="1">
      <x v="89"/>
    </i>
    <i r="1">
      <x v="97"/>
    </i>
    <i r="1">
      <x v="98"/>
    </i>
    <i r="1">
      <x v="106"/>
    </i>
    <i r="1">
      <x v="126"/>
    </i>
    <i r="1">
      <x v="130"/>
    </i>
    <i r="1">
      <x v="135"/>
    </i>
    <i r="1">
      <x v="156"/>
    </i>
    <i>
      <x v="29"/>
    </i>
    <i r="1">
      <x v="2"/>
    </i>
    <i r="1">
      <x v="21"/>
    </i>
    <i r="1">
      <x v="83"/>
    </i>
    <i r="1">
      <x v="101"/>
    </i>
    <i r="1">
      <x v="117"/>
    </i>
    <i r="1">
      <x v="130"/>
    </i>
    <i r="1">
      <x v="136"/>
    </i>
    <i r="1">
      <x v="161"/>
    </i>
    <i>
      <x v="30"/>
    </i>
    <i r="1">
      <x v="34"/>
    </i>
    <i r="1">
      <x v="66"/>
    </i>
    <i r="1">
      <x v="92"/>
    </i>
    <i r="1">
      <x v="118"/>
    </i>
    <i r="1">
      <x v="125"/>
    </i>
    <i r="1">
      <x v="143"/>
    </i>
    <i r="1">
      <x v="158"/>
    </i>
    <i r="1">
      <x v="163"/>
    </i>
    <i>
      <x v="31"/>
    </i>
    <i r="1">
      <x v="24"/>
    </i>
    <i r="1">
      <x v="27"/>
    </i>
    <i r="1">
      <x v="53"/>
    </i>
    <i>
      <x v="32"/>
    </i>
    <i r="1">
      <x/>
    </i>
    <i r="1">
      <x v="4"/>
    </i>
    <i r="1">
      <x v="58"/>
    </i>
    <i r="1">
      <x v="85"/>
    </i>
    <i r="1">
      <x v="115"/>
    </i>
    <i r="1">
      <x v="137"/>
    </i>
    <i r="1">
      <x v="151"/>
    </i>
    <i>
      <x v="33"/>
    </i>
    <i r="1">
      <x v="29"/>
    </i>
    <i r="1">
      <x v="36"/>
    </i>
    <i r="1">
      <x v="47"/>
    </i>
    <i r="1">
      <x v="68"/>
    </i>
    <i r="1">
      <x v="141"/>
    </i>
    <i r="1">
      <x v="161"/>
    </i>
    <i>
      <x v="34"/>
    </i>
    <i r="1">
      <x v="38"/>
    </i>
    <i r="1">
      <x v="49"/>
    </i>
    <i r="1">
      <x v="56"/>
    </i>
    <i r="1">
      <x v="129"/>
    </i>
    <i t="grand">
      <x/>
    </i>
  </rowItems>
  <colFields count="2">
    <field x="8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Sum of OrderValue" fld="7" baseField="0" baseItem="0"/>
    <dataField name="Sum of Calc Field 0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CB27D6-EA14-4294-BC91-FAF43E307BC2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H3:AI379" firstHeaderRow="1" firstDataRow="1" firstDataCol="1"/>
  <pivotFields count="16">
    <pivotField showAll="0"/>
    <pivotField showAll="0"/>
    <pivotField showAll="0"/>
    <pivotField showAll="0"/>
    <pivotField axis="axisRow" showAll="0">
      <items count="165">
        <item x="63"/>
        <item x="45"/>
        <item x="155"/>
        <item x="40"/>
        <item x="1"/>
        <item x="124"/>
        <item x="110"/>
        <item x="138"/>
        <item x="162"/>
        <item x="37"/>
        <item x="107"/>
        <item x="142"/>
        <item x="156"/>
        <item x="152"/>
        <item x="30"/>
        <item x="97"/>
        <item x="0"/>
        <item x="31"/>
        <item x="136"/>
        <item x="51"/>
        <item x="130"/>
        <item x="95"/>
        <item x="24"/>
        <item x="76"/>
        <item x="27"/>
        <item x="39"/>
        <item x="74"/>
        <item x="23"/>
        <item x="126"/>
        <item x="28"/>
        <item x="41"/>
        <item x="146"/>
        <item x="9"/>
        <item x="15"/>
        <item x="60"/>
        <item x="94"/>
        <item x="159"/>
        <item x="112"/>
        <item x="16"/>
        <item x="158"/>
        <item x="42"/>
        <item x="106"/>
        <item x="10"/>
        <item x="105"/>
        <item x="21"/>
        <item x="86"/>
        <item x="117"/>
        <item x="75"/>
        <item x="102"/>
        <item x="26"/>
        <item x="145"/>
        <item x="154"/>
        <item x="133"/>
        <item x="82"/>
        <item x="114"/>
        <item x="128"/>
        <item x="69"/>
        <item x="67"/>
        <item x="25"/>
        <item x="35"/>
        <item x="88"/>
        <item x="84"/>
        <item x="18"/>
        <item x="13"/>
        <item x="22"/>
        <item x="122"/>
        <item x="55"/>
        <item x="66"/>
        <item x="61"/>
        <item x="77"/>
        <item x="68"/>
        <item x="129"/>
        <item x="108"/>
        <item x="100"/>
        <item x="92"/>
        <item x="93"/>
        <item x="140"/>
        <item x="33"/>
        <item x="111"/>
        <item x="144"/>
        <item x="6"/>
        <item x="32"/>
        <item x="120"/>
        <item x="71"/>
        <item x="72"/>
        <item x="52"/>
        <item x="70"/>
        <item x="116"/>
        <item x="36"/>
        <item x="121"/>
        <item x="151"/>
        <item x="62"/>
        <item x="123"/>
        <item x="163"/>
        <item x="147"/>
        <item x="96"/>
        <item x="46"/>
        <item x="104"/>
        <item x="98"/>
        <item x="83"/>
        <item x="59"/>
        <item x="81"/>
        <item x="141"/>
        <item x="7"/>
        <item x="3"/>
        <item x="38"/>
        <item x="90"/>
        <item x="50"/>
        <item x="5"/>
        <item x="137"/>
        <item x="79"/>
        <item x="11"/>
        <item x="12"/>
        <item x="118"/>
        <item x="109"/>
        <item x="103"/>
        <item x="99"/>
        <item x="19"/>
        <item x="56"/>
        <item x="149"/>
        <item x="65"/>
        <item x="29"/>
        <item x="134"/>
        <item x="2"/>
        <item x="4"/>
        <item x="14"/>
        <item x="8"/>
        <item x="58"/>
        <item x="153"/>
        <item x="20"/>
        <item x="127"/>
        <item x="135"/>
        <item x="54"/>
        <item x="49"/>
        <item x="115"/>
        <item x="157"/>
        <item x="73"/>
        <item x="89"/>
        <item x="160"/>
        <item x="48"/>
        <item x="125"/>
        <item x="148"/>
        <item x="131"/>
        <item x="44"/>
        <item x="47"/>
        <item x="53"/>
        <item x="17"/>
        <item x="113"/>
        <item x="78"/>
        <item x="43"/>
        <item x="91"/>
        <item x="85"/>
        <item x="139"/>
        <item x="80"/>
        <item x="161"/>
        <item x="34"/>
        <item x="101"/>
        <item x="57"/>
        <item x="150"/>
        <item x="119"/>
        <item x="143"/>
        <item x="87"/>
        <item x="132"/>
        <item x="64"/>
        <item t="default"/>
      </items>
    </pivotField>
    <pivotField axis="axisRow" showAll="0" sumSubtotal="1" countASubtotal="1" avgSubtotal="1" countSubtotal="1">
      <items count="39">
        <item x="11"/>
        <item x="6"/>
        <item x="29"/>
        <item x="18"/>
        <item x="12"/>
        <item x="31"/>
        <item x="27"/>
        <item x="21"/>
        <item x="28"/>
        <item x="3"/>
        <item x="33"/>
        <item x="15"/>
        <item x="25"/>
        <item x="23"/>
        <item x="22"/>
        <item x="34"/>
        <item x="0"/>
        <item x="32"/>
        <item x="10"/>
        <item x="30"/>
        <item x="26"/>
        <item x="9"/>
        <item x="7"/>
        <item x="16"/>
        <item x="2"/>
        <item x="5"/>
        <item x="4"/>
        <item x="13"/>
        <item x="8"/>
        <item x="17"/>
        <item x="24"/>
        <item x="19"/>
        <item x="1"/>
        <item x="20"/>
        <item x="14"/>
        <item t="sum"/>
        <item t="countA"/>
        <item t="avg"/>
        <item t="count"/>
      </items>
    </pivotField>
    <pivotField showAll="0"/>
    <pivotField dataField="1" numFmtId="164" showAll="0"/>
    <pivotField showAll="0"/>
    <pivotField numFmtId="14" showAll="0">
      <items count="187">
        <item x="62"/>
        <item x="63"/>
        <item x="127"/>
        <item x="88"/>
        <item x="114"/>
        <item x="159"/>
        <item x="107"/>
        <item x="14"/>
        <item x="17"/>
        <item x="64"/>
        <item x="129"/>
        <item x="47"/>
        <item x="46"/>
        <item x="183"/>
        <item x="66"/>
        <item x="59"/>
        <item x="163"/>
        <item x="60"/>
        <item x="81"/>
        <item x="80"/>
        <item x="7"/>
        <item x="3"/>
        <item x="154"/>
        <item x="32"/>
        <item x="23"/>
        <item x="152"/>
        <item x="101"/>
        <item x="89"/>
        <item x="50"/>
        <item x="140"/>
        <item x="120"/>
        <item x="42"/>
        <item x="38"/>
        <item x="39"/>
        <item x="110"/>
        <item x="33"/>
        <item x="96"/>
        <item x="145"/>
        <item x="136"/>
        <item x="24"/>
        <item x="28"/>
        <item x="52"/>
        <item x="67"/>
        <item x="115"/>
        <item x="76"/>
        <item x="56"/>
        <item x="157"/>
        <item x="170"/>
        <item x="51"/>
        <item x="119"/>
        <item x="21"/>
        <item x="99"/>
        <item x="53"/>
        <item x="71"/>
        <item x="169"/>
        <item x="142"/>
        <item x="26"/>
        <item x="58"/>
        <item x="22"/>
        <item x="84"/>
        <item x="68"/>
        <item x="121"/>
        <item x="20"/>
        <item x="174"/>
        <item x="27"/>
        <item x="161"/>
        <item x="30"/>
        <item x="9"/>
        <item x="104"/>
        <item x="94"/>
        <item x="1"/>
        <item x="11"/>
        <item x="178"/>
        <item x="37"/>
        <item x="171"/>
        <item x="29"/>
        <item x="122"/>
        <item x="162"/>
        <item x="139"/>
        <item x="82"/>
        <item x="144"/>
        <item x="78"/>
        <item x="175"/>
        <item x="143"/>
        <item x="103"/>
        <item x="176"/>
        <item x="61"/>
        <item x="172"/>
        <item x="181"/>
        <item x="124"/>
        <item x="18"/>
        <item x="149"/>
        <item x="12"/>
        <item x="151"/>
        <item x="73"/>
        <item x="118"/>
        <item x="150"/>
        <item x="5"/>
        <item x="167"/>
        <item x="132"/>
        <item x="106"/>
        <item x="41"/>
        <item x="180"/>
        <item x="25"/>
        <item x="83"/>
        <item x="92"/>
        <item x="147"/>
        <item x="4"/>
        <item x="0"/>
        <item x="138"/>
        <item x="91"/>
        <item x="75"/>
        <item x="113"/>
        <item x="160"/>
        <item x="34"/>
        <item x="86"/>
        <item x="44"/>
        <item x="125"/>
        <item x="177"/>
        <item x="74"/>
        <item x="70"/>
        <item x="79"/>
        <item x="153"/>
        <item x="148"/>
        <item x="158"/>
        <item x="134"/>
        <item x="16"/>
        <item x="45"/>
        <item x="111"/>
        <item x="87"/>
        <item x="57"/>
        <item x="69"/>
        <item x="133"/>
        <item x="95"/>
        <item x="90"/>
        <item x="10"/>
        <item x="109"/>
        <item x="168"/>
        <item x="49"/>
        <item x="123"/>
        <item x="40"/>
        <item x="182"/>
        <item x="93"/>
        <item x="146"/>
        <item x="100"/>
        <item x="72"/>
        <item x="173"/>
        <item x="77"/>
        <item x="2"/>
        <item x="141"/>
        <item x="130"/>
        <item x="105"/>
        <item x="102"/>
        <item x="15"/>
        <item x="165"/>
        <item x="97"/>
        <item x="116"/>
        <item x="98"/>
        <item x="117"/>
        <item x="85"/>
        <item x="135"/>
        <item x="179"/>
        <item x="54"/>
        <item x="13"/>
        <item x="35"/>
        <item x="48"/>
        <item x="184"/>
        <item x="65"/>
        <item x="128"/>
        <item x="36"/>
        <item x="156"/>
        <item x="164"/>
        <item x="6"/>
        <item x="166"/>
        <item x="126"/>
        <item x="131"/>
        <item x="31"/>
        <item x="112"/>
        <item x="137"/>
        <item x="8"/>
        <item x="43"/>
        <item x="185"/>
        <item x="19"/>
        <item x="155"/>
        <item x="108"/>
        <item x="55"/>
        <item t="default"/>
      </items>
    </pivotField>
    <pivotField numFmtId="43" showAll="0"/>
    <pivotField numFmtId="43" showAll="0"/>
    <pivotField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</pivotFields>
  <rowFields count="2">
    <field x="5"/>
    <field x="4"/>
  </rowFields>
  <rowItems count="376">
    <i>
      <x/>
    </i>
    <i r="1">
      <x v="40"/>
    </i>
    <i r="1">
      <x v="91"/>
    </i>
    <i r="1">
      <x v="111"/>
    </i>
    <i r="1">
      <x v="112"/>
    </i>
    <i r="1">
      <x v="139"/>
    </i>
    <i t="sum">
      <x/>
    </i>
    <i t="countA">
      <x/>
    </i>
    <i t="avg">
      <x/>
    </i>
    <i t="count">
      <x/>
    </i>
    <i>
      <x v="1"/>
    </i>
    <i r="1">
      <x v="55"/>
    </i>
    <i r="1">
      <x v="79"/>
    </i>
    <i r="1">
      <x v="80"/>
    </i>
    <i r="1">
      <x v="87"/>
    </i>
    <i r="1">
      <x v="90"/>
    </i>
    <i r="1">
      <x v="142"/>
    </i>
    <i r="1">
      <x v="156"/>
    </i>
    <i t="sum">
      <x v="1"/>
    </i>
    <i t="countA">
      <x v="1"/>
    </i>
    <i t="avg">
      <x v="1"/>
    </i>
    <i t="count">
      <x v="1"/>
    </i>
    <i>
      <x v="2"/>
    </i>
    <i r="1">
      <x v="3"/>
    </i>
    <i r="1">
      <x v="11"/>
    </i>
    <i r="1">
      <x v="48"/>
    </i>
    <i r="1">
      <x v="61"/>
    </i>
    <i r="1">
      <x v="121"/>
    </i>
    <i r="1">
      <x v="126"/>
    </i>
    <i t="sum">
      <x v="2"/>
    </i>
    <i t="countA">
      <x v="2"/>
    </i>
    <i t="avg">
      <x v="2"/>
    </i>
    <i t="count">
      <x v="2"/>
    </i>
    <i>
      <x v="3"/>
    </i>
    <i r="1">
      <x v="44"/>
    </i>
    <i r="1">
      <x v="65"/>
    </i>
    <i t="sum">
      <x v="3"/>
    </i>
    <i t="countA">
      <x v="3"/>
    </i>
    <i t="avg">
      <x v="3"/>
    </i>
    <i t="count">
      <x v="3"/>
    </i>
    <i>
      <x v="4"/>
    </i>
    <i r="1">
      <x v="25"/>
    </i>
    <i r="1">
      <x v="41"/>
    </i>
    <i r="1">
      <x v="63"/>
    </i>
    <i r="1">
      <x v="67"/>
    </i>
    <i r="1">
      <x v="74"/>
    </i>
    <i r="1">
      <x v="88"/>
    </i>
    <i r="1">
      <x v="140"/>
    </i>
    <i r="1">
      <x v="157"/>
    </i>
    <i t="sum">
      <x v="4"/>
    </i>
    <i t="countA">
      <x v="4"/>
    </i>
    <i t="avg">
      <x v="4"/>
    </i>
    <i t="count">
      <x v="4"/>
    </i>
    <i>
      <x v="5"/>
    </i>
    <i r="1">
      <x v="69"/>
    </i>
    <i r="1">
      <x v="73"/>
    </i>
    <i t="sum">
      <x v="5"/>
    </i>
    <i t="countA">
      <x v="5"/>
    </i>
    <i t="avg">
      <x v="5"/>
    </i>
    <i t="count">
      <x v="5"/>
    </i>
    <i>
      <x v="6"/>
    </i>
    <i r="1">
      <x v="18"/>
    </i>
    <i r="1">
      <x v="145"/>
    </i>
    <i t="sum">
      <x v="6"/>
    </i>
    <i t="countA">
      <x v="6"/>
    </i>
    <i t="avg">
      <x v="6"/>
    </i>
    <i t="count">
      <x v="6"/>
    </i>
    <i>
      <x v="7"/>
    </i>
    <i r="1">
      <x v="17"/>
    </i>
    <i r="1">
      <x v="20"/>
    </i>
    <i r="1">
      <x v="160"/>
    </i>
    <i t="sum">
      <x v="7"/>
    </i>
    <i t="countA">
      <x v="7"/>
    </i>
    <i t="avg">
      <x v="7"/>
    </i>
    <i t="count">
      <x v="7"/>
    </i>
    <i>
      <x v="8"/>
    </i>
    <i r="1">
      <x v="50"/>
    </i>
    <i r="1">
      <x v="96"/>
    </i>
    <i r="1">
      <x v="127"/>
    </i>
    <i r="1">
      <x v="132"/>
    </i>
    <i t="sum">
      <x v="8"/>
    </i>
    <i t="countA">
      <x v="8"/>
    </i>
    <i t="avg">
      <x v="8"/>
    </i>
    <i t="count">
      <x v="8"/>
    </i>
    <i>
      <x v="9"/>
    </i>
    <i r="1">
      <x v="3"/>
    </i>
    <i r="1">
      <x v="23"/>
    </i>
    <i r="1">
      <x v="96"/>
    </i>
    <i r="1">
      <x v="104"/>
    </i>
    <i t="sum">
      <x v="9"/>
    </i>
    <i t="countA">
      <x v="9"/>
    </i>
    <i t="avg">
      <x v="9"/>
    </i>
    <i t="count">
      <x v="9"/>
    </i>
    <i>
      <x v="10"/>
    </i>
    <i r="1">
      <x v="20"/>
    </i>
    <i r="1">
      <x v="58"/>
    </i>
    <i r="1">
      <x v="102"/>
    </i>
    <i r="1">
      <x v="108"/>
    </i>
    <i r="1">
      <x v="110"/>
    </i>
    <i r="1">
      <x v="154"/>
    </i>
    <i t="sum">
      <x v="10"/>
    </i>
    <i t="countA">
      <x v="10"/>
    </i>
    <i t="avg">
      <x v="10"/>
    </i>
    <i t="count">
      <x v="10"/>
    </i>
    <i>
      <x v="11"/>
    </i>
    <i r="1">
      <x v="3"/>
    </i>
    <i r="1">
      <x v="10"/>
    </i>
    <i r="1">
      <x v="12"/>
    </i>
    <i r="1">
      <x v="43"/>
    </i>
    <i r="1">
      <x v="72"/>
    </i>
    <i r="1">
      <x v="88"/>
    </i>
    <i r="1">
      <x v="134"/>
    </i>
    <i r="1">
      <x v="146"/>
    </i>
    <i t="sum">
      <x v="11"/>
    </i>
    <i t="countA">
      <x v="11"/>
    </i>
    <i t="avg">
      <x v="11"/>
    </i>
    <i t="count">
      <x v="11"/>
    </i>
    <i>
      <x v="12"/>
    </i>
    <i r="1">
      <x v="1"/>
    </i>
    <i r="1">
      <x v="35"/>
    </i>
    <i r="1">
      <x v="127"/>
    </i>
    <i r="1">
      <x v="148"/>
    </i>
    <i r="1">
      <x v="153"/>
    </i>
    <i t="sum">
      <x v="12"/>
    </i>
    <i t="countA">
      <x v="12"/>
    </i>
    <i t="avg">
      <x v="12"/>
    </i>
    <i t="count">
      <x v="12"/>
    </i>
    <i>
      <x v="13"/>
    </i>
    <i r="1">
      <x v="7"/>
    </i>
    <i r="1">
      <x v="15"/>
    </i>
    <i r="1">
      <x v="28"/>
    </i>
    <i r="1">
      <x v="30"/>
    </i>
    <i r="1">
      <x v="122"/>
    </i>
    <i r="1">
      <x v="147"/>
    </i>
    <i t="sum">
      <x v="13"/>
    </i>
    <i t="countA">
      <x v="13"/>
    </i>
    <i t="avg">
      <x v="13"/>
    </i>
    <i t="count">
      <x v="13"/>
    </i>
    <i>
      <x v="14"/>
    </i>
    <i r="1">
      <x v="26"/>
    </i>
    <i r="1">
      <x v="51"/>
    </i>
    <i r="1">
      <x v="86"/>
    </i>
    <i r="1">
      <x v="94"/>
    </i>
    <i r="1">
      <x v="95"/>
    </i>
    <i r="1">
      <x v="105"/>
    </i>
    <i r="1">
      <x v="128"/>
    </i>
    <i r="1">
      <x v="156"/>
    </i>
    <i t="sum">
      <x v="14"/>
    </i>
    <i t="countA">
      <x v="14"/>
    </i>
    <i t="avg">
      <x v="14"/>
    </i>
    <i t="count">
      <x v="14"/>
    </i>
    <i>
      <x v="15"/>
    </i>
    <i r="1">
      <x v="7"/>
    </i>
    <i t="sum">
      <x v="15"/>
    </i>
    <i t="countA">
      <x v="15"/>
    </i>
    <i t="avg">
      <x v="15"/>
    </i>
    <i t="count">
      <x v="15"/>
    </i>
    <i>
      <x v="16"/>
    </i>
    <i r="1">
      <x v="8"/>
    </i>
    <i r="1">
      <x v="16"/>
    </i>
    <i r="1">
      <x v="27"/>
    </i>
    <i r="1">
      <x v="30"/>
    </i>
    <i r="1">
      <x v="37"/>
    </i>
    <i r="1">
      <x v="60"/>
    </i>
    <i r="1">
      <x v="143"/>
    </i>
    <i r="1">
      <x v="152"/>
    </i>
    <i t="sum">
      <x v="16"/>
    </i>
    <i t="countA">
      <x v="16"/>
    </i>
    <i t="avg">
      <x v="16"/>
    </i>
    <i t="count">
      <x v="16"/>
    </i>
    <i>
      <x v="17"/>
    </i>
    <i r="1">
      <x v="71"/>
    </i>
    <i t="sum">
      <x v="17"/>
    </i>
    <i t="countA">
      <x v="17"/>
    </i>
    <i t="avg">
      <x v="17"/>
    </i>
    <i t="count">
      <x v="17"/>
    </i>
    <i>
      <x v="18"/>
    </i>
    <i r="1">
      <x v="42"/>
    </i>
    <i r="1">
      <x v="78"/>
    </i>
    <i r="1">
      <x v="119"/>
    </i>
    <i r="1">
      <x v="161"/>
    </i>
    <i t="sum">
      <x v="18"/>
    </i>
    <i t="countA">
      <x v="18"/>
    </i>
    <i t="avg">
      <x v="18"/>
    </i>
    <i t="count">
      <x v="18"/>
    </i>
    <i>
      <x v="19"/>
    </i>
    <i r="1">
      <x v="13"/>
    </i>
    <i r="1">
      <x v="47"/>
    </i>
    <i r="1">
      <x v="52"/>
    </i>
    <i r="1">
      <x v="84"/>
    </i>
    <i r="1">
      <x v="113"/>
    </i>
    <i t="sum">
      <x v="19"/>
    </i>
    <i t="countA">
      <x v="19"/>
    </i>
    <i t="avg">
      <x v="19"/>
    </i>
    <i t="count">
      <x v="19"/>
    </i>
    <i>
      <x v="20"/>
    </i>
    <i r="1">
      <x v="5"/>
    </i>
    <i r="1">
      <x v="82"/>
    </i>
    <i r="1">
      <x v="114"/>
    </i>
    <i r="1">
      <x v="131"/>
    </i>
    <i r="1">
      <x v="133"/>
    </i>
    <i t="sum">
      <x v="20"/>
    </i>
    <i t="countA">
      <x v="20"/>
    </i>
    <i t="avg">
      <x v="20"/>
    </i>
    <i t="count">
      <x v="20"/>
    </i>
    <i>
      <x v="21"/>
    </i>
    <i r="1">
      <x v="32"/>
    </i>
    <i r="1">
      <x v="33"/>
    </i>
    <i r="1">
      <x v="40"/>
    </i>
    <i r="1">
      <x v="75"/>
    </i>
    <i r="1">
      <x v="77"/>
    </i>
    <i r="1">
      <x v="109"/>
    </i>
    <i r="1">
      <x v="116"/>
    </i>
    <i r="1">
      <x v="149"/>
    </i>
    <i r="1">
      <x v="150"/>
    </i>
    <i t="sum">
      <x v="21"/>
    </i>
    <i t="countA">
      <x v="21"/>
    </i>
    <i t="avg">
      <x v="21"/>
    </i>
    <i t="count">
      <x v="21"/>
    </i>
    <i>
      <x v="22"/>
    </i>
    <i r="1">
      <x v="46"/>
    </i>
    <i r="1">
      <x v="48"/>
    </i>
    <i r="1">
      <x v="70"/>
    </i>
    <i r="1">
      <x v="86"/>
    </i>
    <i r="1">
      <x v="95"/>
    </i>
    <i r="1">
      <x v="103"/>
    </i>
    <i r="1">
      <x v="107"/>
    </i>
    <i r="1">
      <x v="110"/>
    </i>
    <i r="1">
      <x v="121"/>
    </i>
    <i r="1">
      <x v="138"/>
    </i>
    <i t="sum">
      <x v="22"/>
    </i>
    <i t="countA">
      <x v="22"/>
    </i>
    <i t="avg">
      <x v="22"/>
    </i>
    <i t="count">
      <x v="22"/>
    </i>
    <i>
      <x v="23"/>
    </i>
    <i r="1">
      <x v="54"/>
    </i>
    <i r="1">
      <x v="62"/>
    </i>
    <i r="1">
      <x v="93"/>
    </i>
    <i r="1">
      <x v="100"/>
    </i>
    <i r="1">
      <x v="120"/>
    </i>
    <i r="1">
      <x v="133"/>
    </i>
    <i r="1">
      <x v="155"/>
    </i>
    <i t="sum">
      <x v="23"/>
    </i>
    <i t="countA">
      <x v="23"/>
    </i>
    <i t="avg">
      <x v="23"/>
    </i>
    <i t="count">
      <x v="23"/>
    </i>
    <i>
      <x v="24"/>
    </i>
    <i r="1">
      <x v="31"/>
    </i>
    <i r="1">
      <x v="45"/>
    </i>
    <i r="1">
      <x v="57"/>
    </i>
    <i r="1">
      <x v="81"/>
    </i>
    <i r="1">
      <x v="95"/>
    </i>
    <i r="1">
      <x v="121"/>
    </i>
    <i r="1">
      <x v="123"/>
    </i>
    <i r="1">
      <x v="127"/>
    </i>
    <i r="1">
      <x v="140"/>
    </i>
    <i r="1">
      <x v="159"/>
    </i>
    <i t="sum">
      <x v="24"/>
    </i>
    <i t="countA">
      <x v="24"/>
    </i>
    <i t="avg">
      <x v="24"/>
    </i>
    <i t="count">
      <x v="24"/>
    </i>
    <i>
      <x v="25"/>
    </i>
    <i r="1">
      <x v="14"/>
    </i>
    <i r="1">
      <x v="19"/>
    </i>
    <i r="1">
      <x v="22"/>
    </i>
    <i r="1">
      <x v="39"/>
    </i>
    <i r="1">
      <x v="59"/>
    </i>
    <i r="1">
      <x v="99"/>
    </i>
    <i r="1">
      <x v="108"/>
    </i>
    <i r="1">
      <x v="149"/>
    </i>
    <i t="sum">
      <x v="25"/>
    </i>
    <i t="countA">
      <x v="25"/>
    </i>
    <i t="avg">
      <x v="25"/>
    </i>
    <i t="count">
      <x v="25"/>
    </i>
    <i>
      <x v="26"/>
    </i>
    <i r="1">
      <x v="19"/>
    </i>
    <i r="1">
      <x v="66"/>
    </i>
    <i r="1">
      <x v="76"/>
    </i>
    <i r="1">
      <x v="124"/>
    </i>
    <i r="1">
      <x v="162"/>
    </i>
    <i t="sum">
      <x v="26"/>
    </i>
    <i t="countA">
      <x v="26"/>
    </i>
    <i t="avg">
      <x v="26"/>
    </i>
    <i t="count">
      <x v="26"/>
    </i>
    <i>
      <x v="27"/>
    </i>
    <i r="1">
      <x v="6"/>
    </i>
    <i r="1">
      <x v="9"/>
    </i>
    <i r="1">
      <x v="125"/>
    </i>
    <i r="1">
      <x v="143"/>
    </i>
    <i r="1">
      <x v="144"/>
    </i>
    <i r="1">
      <x v="146"/>
    </i>
    <i t="sum">
      <x v="27"/>
    </i>
    <i t="countA">
      <x v="27"/>
    </i>
    <i t="avg">
      <x v="27"/>
    </i>
    <i t="count">
      <x v="27"/>
    </i>
    <i>
      <x v="28"/>
    </i>
    <i r="1">
      <x v="64"/>
    </i>
    <i r="1">
      <x v="89"/>
    </i>
    <i r="1">
      <x v="97"/>
    </i>
    <i r="1">
      <x v="98"/>
    </i>
    <i r="1">
      <x v="106"/>
    </i>
    <i r="1">
      <x v="126"/>
    </i>
    <i r="1">
      <x v="130"/>
    </i>
    <i r="1">
      <x v="135"/>
    </i>
    <i r="1">
      <x v="156"/>
    </i>
    <i t="sum">
      <x v="28"/>
    </i>
    <i t="countA">
      <x v="28"/>
    </i>
    <i t="avg">
      <x v="28"/>
    </i>
    <i t="count">
      <x v="28"/>
    </i>
    <i>
      <x v="29"/>
    </i>
    <i r="1">
      <x v="2"/>
    </i>
    <i r="1">
      <x v="21"/>
    </i>
    <i r="1">
      <x v="83"/>
    </i>
    <i r="1">
      <x v="101"/>
    </i>
    <i r="1">
      <x v="117"/>
    </i>
    <i r="1">
      <x v="130"/>
    </i>
    <i r="1">
      <x v="136"/>
    </i>
    <i r="1">
      <x v="161"/>
    </i>
    <i t="sum">
      <x v="29"/>
    </i>
    <i t="countA">
      <x v="29"/>
    </i>
    <i t="avg">
      <x v="29"/>
    </i>
    <i t="count">
      <x v="29"/>
    </i>
    <i>
      <x v="30"/>
    </i>
    <i r="1">
      <x v="34"/>
    </i>
    <i r="1">
      <x v="66"/>
    </i>
    <i r="1">
      <x v="92"/>
    </i>
    <i r="1">
      <x v="118"/>
    </i>
    <i r="1">
      <x v="125"/>
    </i>
    <i r="1">
      <x v="143"/>
    </i>
    <i r="1">
      <x v="158"/>
    </i>
    <i r="1">
      <x v="163"/>
    </i>
    <i t="sum">
      <x v="30"/>
    </i>
    <i t="countA">
      <x v="30"/>
    </i>
    <i t="avg">
      <x v="30"/>
    </i>
    <i t="count">
      <x v="30"/>
    </i>
    <i>
      <x v="31"/>
    </i>
    <i r="1">
      <x v="24"/>
    </i>
    <i r="1">
      <x v="27"/>
    </i>
    <i r="1">
      <x v="53"/>
    </i>
    <i t="sum">
      <x v="31"/>
    </i>
    <i t="countA">
      <x v="31"/>
    </i>
    <i t="avg">
      <x v="31"/>
    </i>
    <i t="count">
      <x v="31"/>
    </i>
    <i>
      <x v="32"/>
    </i>
    <i r="1">
      <x/>
    </i>
    <i r="1">
      <x v="4"/>
    </i>
    <i r="1">
      <x v="58"/>
    </i>
    <i r="1">
      <x v="85"/>
    </i>
    <i r="1">
      <x v="115"/>
    </i>
    <i r="1">
      <x v="137"/>
    </i>
    <i r="1">
      <x v="151"/>
    </i>
    <i t="sum">
      <x v="32"/>
    </i>
    <i t="countA">
      <x v="32"/>
    </i>
    <i t="avg">
      <x v="32"/>
    </i>
    <i t="count">
      <x v="32"/>
    </i>
    <i>
      <x v="33"/>
    </i>
    <i r="1">
      <x v="29"/>
    </i>
    <i r="1">
      <x v="36"/>
    </i>
    <i r="1">
      <x v="47"/>
    </i>
    <i r="1">
      <x v="68"/>
    </i>
    <i r="1">
      <x v="141"/>
    </i>
    <i r="1">
      <x v="161"/>
    </i>
    <i t="sum">
      <x v="33"/>
    </i>
    <i t="countA">
      <x v="33"/>
    </i>
    <i t="avg">
      <x v="33"/>
    </i>
    <i t="count">
      <x v="33"/>
    </i>
    <i>
      <x v="34"/>
    </i>
    <i r="1">
      <x v="38"/>
    </i>
    <i r="1">
      <x v="49"/>
    </i>
    <i r="1">
      <x v="56"/>
    </i>
    <i r="1">
      <x v="129"/>
    </i>
    <i t="sum">
      <x v="34"/>
    </i>
    <i t="countA">
      <x v="34"/>
    </i>
    <i t="avg">
      <x v="34"/>
    </i>
    <i t="count">
      <x v="34"/>
    </i>
    <i t="grand">
      <x/>
    </i>
  </rowItems>
  <colItems count="1">
    <i/>
  </colItems>
  <dataFields count="1">
    <dataField name="Sum of OrderValue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383572-0AEC-49A2-B8DF-D588202AB465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D3:AF234" firstHeaderRow="0" firstDataRow="1" firstDataCol="1"/>
  <pivotFields count="16">
    <pivotField showAll="0"/>
    <pivotField showAll="0"/>
    <pivotField showAll="0"/>
    <pivotField showAll="0"/>
    <pivotField axis="axisRow" showAll="0">
      <items count="165">
        <item x="63"/>
        <item x="45"/>
        <item x="155"/>
        <item x="40"/>
        <item x="1"/>
        <item x="124"/>
        <item x="110"/>
        <item x="138"/>
        <item x="162"/>
        <item x="37"/>
        <item x="107"/>
        <item x="142"/>
        <item x="156"/>
        <item x="152"/>
        <item x="30"/>
        <item x="97"/>
        <item x="0"/>
        <item x="31"/>
        <item x="136"/>
        <item x="51"/>
        <item x="130"/>
        <item x="95"/>
        <item x="24"/>
        <item x="76"/>
        <item x="27"/>
        <item x="39"/>
        <item x="74"/>
        <item x="23"/>
        <item x="126"/>
        <item x="28"/>
        <item x="41"/>
        <item x="146"/>
        <item x="9"/>
        <item x="15"/>
        <item x="60"/>
        <item x="94"/>
        <item x="159"/>
        <item x="112"/>
        <item x="16"/>
        <item x="158"/>
        <item x="42"/>
        <item x="106"/>
        <item x="10"/>
        <item x="105"/>
        <item x="21"/>
        <item x="86"/>
        <item x="117"/>
        <item x="75"/>
        <item x="102"/>
        <item x="26"/>
        <item x="145"/>
        <item x="154"/>
        <item x="133"/>
        <item x="82"/>
        <item x="114"/>
        <item x="128"/>
        <item x="69"/>
        <item x="67"/>
        <item x="25"/>
        <item x="35"/>
        <item x="88"/>
        <item x="84"/>
        <item x="18"/>
        <item x="13"/>
        <item x="22"/>
        <item x="122"/>
        <item x="55"/>
        <item x="66"/>
        <item x="61"/>
        <item x="77"/>
        <item x="68"/>
        <item x="129"/>
        <item x="108"/>
        <item x="100"/>
        <item x="92"/>
        <item x="93"/>
        <item x="140"/>
        <item x="33"/>
        <item x="111"/>
        <item x="144"/>
        <item x="6"/>
        <item x="32"/>
        <item x="120"/>
        <item x="71"/>
        <item x="72"/>
        <item x="52"/>
        <item x="70"/>
        <item x="116"/>
        <item x="36"/>
        <item x="121"/>
        <item x="151"/>
        <item x="62"/>
        <item x="123"/>
        <item x="163"/>
        <item x="147"/>
        <item x="96"/>
        <item x="46"/>
        <item x="104"/>
        <item x="98"/>
        <item x="83"/>
        <item x="59"/>
        <item x="81"/>
        <item x="141"/>
        <item x="7"/>
        <item x="3"/>
        <item x="38"/>
        <item x="90"/>
        <item x="50"/>
        <item x="5"/>
        <item x="137"/>
        <item x="79"/>
        <item x="11"/>
        <item x="12"/>
        <item x="118"/>
        <item x="109"/>
        <item x="103"/>
        <item x="99"/>
        <item x="19"/>
        <item x="56"/>
        <item x="149"/>
        <item x="65"/>
        <item x="29"/>
        <item x="134"/>
        <item x="2"/>
        <item x="4"/>
        <item x="14"/>
        <item x="8"/>
        <item x="58"/>
        <item x="153"/>
        <item x="20"/>
        <item x="127"/>
        <item x="135"/>
        <item x="54"/>
        <item x="49"/>
        <item x="115"/>
        <item x="157"/>
        <item x="73"/>
        <item x="89"/>
        <item x="160"/>
        <item x="48"/>
        <item x="125"/>
        <item x="148"/>
        <item x="131"/>
        <item x="44"/>
        <item x="47"/>
        <item x="53"/>
        <item x="17"/>
        <item x="113"/>
        <item x="78"/>
        <item x="43"/>
        <item x="91"/>
        <item x="85"/>
        <item x="139"/>
        <item x="80"/>
        <item x="161"/>
        <item x="34"/>
        <item x="101"/>
        <item x="57"/>
        <item x="150"/>
        <item x="119"/>
        <item x="143"/>
        <item x="87"/>
        <item x="132"/>
        <item x="64"/>
        <item t="default"/>
      </items>
    </pivotField>
    <pivotField axis="axisRow" showAll="0" defaultSubtotal="0">
      <items count="35">
        <item sd="0" x="11"/>
        <item x="6"/>
        <item x="29"/>
        <item x="18"/>
        <item x="12"/>
        <item x="31"/>
        <item x="27"/>
        <item x="21"/>
        <item x="28"/>
        <item x="3"/>
        <item x="33"/>
        <item x="15"/>
        <item x="25"/>
        <item x="23"/>
        <item x="22"/>
        <item x="34"/>
        <item x="0"/>
        <item x="32"/>
        <item x="10"/>
        <item x="30"/>
        <item x="26"/>
        <item x="9"/>
        <item x="7"/>
        <item x="16"/>
        <item x="2"/>
        <item x="5"/>
        <item x="4"/>
        <item x="13"/>
        <item x="8"/>
        <item x="17"/>
        <item x="24"/>
        <item x="19"/>
        <item x="1"/>
        <item x="20"/>
        <item x="14"/>
      </items>
    </pivotField>
    <pivotField showAll="0"/>
    <pivotField dataField="1" numFmtId="164" showAll="0"/>
    <pivotField showAll="0"/>
    <pivotField numFmtId="14" showAll="0">
      <items count="187">
        <item x="62"/>
        <item x="63"/>
        <item x="127"/>
        <item x="88"/>
        <item x="114"/>
        <item x="159"/>
        <item x="107"/>
        <item x="14"/>
        <item x="17"/>
        <item x="64"/>
        <item x="129"/>
        <item x="47"/>
        <item x="46"/>
        <item x="183"/>
        <item x="66"/>
        <item x="59"/>
        <item x="163"/>
        <item x="60"/>
        <item x="81"/>
        <item x="80"/>
        <item x="7"/>
        <item x="3"/>
        <item x="154"/>
        <item x="32"/>
        <item x="23"/>
        <item x="152"/>
        <item x="101"/>
        <item x="89"/>
        <item x="50"/>
        <item x="140"/>
        <item x="120"/>
        <item x="42"/>
        <item x="38"/>
        <item x="39"/>
        <item x="110"/>
        <item x="33"/>
        <item x="96"/>
        <item x="145"/>
        <item x="136"/>
        <item x="24"/>
        <item x="28"/>
        <item x="52"/>
        <item x="67"/>
        <item x="115"/>
        <item x="76"/>
        <item x="56"/>
        <item x="157"/>
        <item x="170"/>
        <item x="51"/>
        <item x="119"/>
        <item x="21"/>
        <item x="99"/>
        <item x="53"/>
        <item x="71"/>
        <item x="169"/>
        <item x="142"/>
        <item x="26"/>
        <item x="58"/>
        <item x="22"/>
        <item x="84"/>
        <item x="68"/>
        <item x="121"/>
        <item x="20"/>
        <item x="174"/>
        <item x="27"/>
        <item x="161"/>
        <item x="30"/>
        <item x="9"/>
        <item x="104"/>
        <item x="94"/>
        <item x="1"/>
        <item x="11"/>
        <item x="178"/>
        <item x="37"/>
        <item x="171"/>
        <item x="29"/>
        <item x="122"/>
        <item x="162"/>
        <item x="139"/>
        <item x="82"/>
        <item x="144"/>
        <item x="78"/>
        <item x="175"/>
        <item x="143"/>
        <item x="103"/>
        <item x="176"/>
        <item x="61"/>
        <item x="172"/>
        <item x="181"/>
        <item x="124"/>
        <item x="18"/>
        <item x="149"/>
        <item x="12"/>
        <item x="151"/>
        <item x="73"/>
        <item x="118"/>
        <item x="150"/>
        <item x="5"/>
        <item x="167"/>
        <item x="132"/>
        <item x="106"/>
        <item x="41"/>
        <item x="180"/>
        <item x="25"/>
        <item x="83"/>
        <item x="92"/>
        <item x="147"/>
        <item x="4"/>
        <item x="0"/>
        <item x="138"/>
        <item x="91"/>
        <item x="75"/>
        <item x="113"/>
        <item x="160"/>
        <item x="34"/>
        <item x="86"/>
        <item x="44"/>
        <item x="125"/>
        <item x="177"/>
        <item x="74"/>
        <item x="70"/>
        <item x="79"/>
        <item x="153"/>
        <item x="148"/>
        <item x="158"/>
        <item x="134"/>
        <item x="16"/>
        <item x="45"/>
        <item x="111"/>
        <item x="87"/>
        <item x="57"/>
        <item x="69"/>
        <item x="133"/>
        <item x="95"/>
        <item x="90"/>
        <item x="10"/>
        <item x="109"/>
        <item x="168"/>
        <item x="49"/>
        <item x="123"/>
        <item x="40"/>
        <item x="182"/>
        <item x="93"/>
        <item x="146"/>
        <item x="100"/>
        <item x="72"/>
        <item x="173"/>
        <item x="77"/>
        <item x="2"/>
        <item x="141"/>
        <item x="130"/>
        <item x="105"/>
        <item x="102"/>
        <item x="15"/>
        <item x="165"/>
        <item x="97"/>
        <item x="116"/>
        <item x="98"/>
        <item x="117"/>
        <item x="85"/>
        <item x="135"/>
        <item x="179"/>
        <item x="54"/>
        <item x="13"/>
        <item x="35"/>
        <item x="48"/>
        <item x="184"/>
        <item x="65"/>
        <item x="128"/>
        <item x="36"/>
        <item x="156"/>
        <item x="164"/>
        <item x="6"/>
        <item x="166"/>
        <item x="126"/>
        <item x="131"/>
        <item x="31"/>
        <item x="112"/>
        <item x="137"/>
        <item x="8"/>
        <item x="43"/>
        <item x="185"/>
        <item x="19"/>
        <item x="155"/>
        <item x="108"/>
        <item x="55"/>
        <item t="default"/>
      </items>
    </pivotField>
    <pivotField numFmtId="43" showAll="0"/>
    <pivotField dataField="1" numFmtId="43" showAll="0"/>
    <pivotField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</pivotFields>
  <rowFields count="2">
    <field x="5"/>
    <field x="4"/>
  </rowFields>
  <rowItems count="231">
    <i>
      <x/>
    </i>
    <i>
      <x v="1"/>
    </i>
    <i r="1">
      <x v="55"/>
    </i>
    <i r="1">
      <x v="79"/>
    </i>
    <i r="1">
      <x v="80"/>
    </i>
    <i r="1">
      <x v="87"/>
    </i>
    <i r="1">
      <x v="90"/>
    </i>
    <i r="1">
      <x v="142"/>
    </i>
    <i r="1">
      <x v="156"/>
    </i>
    <i>
      <x v="2"/>
    </i>
    <i r="1">
      <x v="3"/>
    </i>
    <i r="1">
      <x v="11"/>
    </i>
    <i r="1">
      <x v="48"/>
    </i>
    <i r="1">
      <x v="61"/>
    </i>
    <i r="1">
      <x v="121"/>
    </i>
    <i r="1">
      <x v="126"/>
    </i>
    <i>
      <x v="3"/>
    </i>
    <i r="1">
      <x v="44"/>
    </i>
    <i r="1">
      <x v="65"/>
    </i>
    <i>
      <x v="4"/>
    </i>
    <i r="1">
      <x v="25"/>
    </i>
    <i r="1">
      <x v="41"/>
    </i>
    <i r="1">
      <x v="63"/>
    </i>
    <i r="1">
      <x v="67"/>
    </i>
    <i r="1">
      <x v="74"/>
    </i>
    <i r="1">
      <x v="88"/>
    </i>
    <i r="1">
      <x v="140"/>
    </i>
    <i r="1">
      <x v="157"/>
    </i>
    <i>
      <x v="5"/>
    </i>
    <i r="1">
      <x v="69"/>
    </i>
    <i r="1">
      <x v="73"/>
    </i>
    <i>
      <x v="6"/>
    </i>
    <i r="1">
      <x v="18"/>
    </i>
    <i r="1">
      <x v="145"/>
    </i>
    <i>
      <x v="7"/>
    </i>
    <i r="1">
      <x v="17"/>
    </i>
    <i r="1">
      <x v="20"/>
    </i>
    <i r="1">
      <x v="160"/>
    </i>
    <i>
      <x v="8"/>
    </i>
    <i r="1">
      <x v="50"/>
    </i>
    <i r="1">
      <x v="96"/>
    </i>
    <i r="1">
      <x v="127"/>
    </i>
    <i r="1">
      <x v="132"/>
    </i>
    <i>
      <x v="9"/>
    </i>
    <i r="1">
      <x v="3"/>
    </i>
    <i r="1">
      <x v="23"/>
    </i>
    <i r="1">
      <x v="96"/>
    </i>
    <i r="1">
      <x v="104"/>
    </i>
    <i>
      <x v="10"/>
    </i>
    <i r="1">
      <x v="20"/>
    </i>
    <i r="1">
      <x v="58"/>
    </i>
    <i r="1">
      <x v="102"/>
    </i>
    <i r="1">
      <x v="108"/>
    </i>
    <i r="1">
      <x v="110"/>
    </i>
    <i r="1">
      <x v="154"/>
    </i>
    <i>
      <x v="11"/>
    </i>
    <i r="1">
      <x v="3"/>
    </i>
    <i r="1">
      <x v="10"/>
    </i>
    <i r="1">
      <x v="12"/>
    </i>
    <i r="1">
      <x v="43"/>
    </i>
    <i r="1">
      <x v="72"/>
    </i>
    <i r="1">
      <x v="88"/>
    </i>
    <i r="1">
      <x v="134"/>
    </i>
    <i r="1">
      <x v="146"/>
    </i>
    <i>
      <x v="12"/>
    </i>
    <i r="1">
      <x v="1"/>
    </i>
    <i r="1">
      <x v="35"/>
    </i>
    <i r="1">
      <x v="127"/>
    </i>
    <i r="1">
      <x v="148"/>
    </i>
    <i r="1">
      <x v="153"/>
    </i>
    <i>
      <x v="13"/>
    </i>
    <i r="1">
      <x v="7"/>
    </i>
    <i r="1">
      <x v="15"/>
    </i>
    <i r="1">
      <x v="28"/>
    </i>
    <i r="1">
      <x v="30"/>
    </i>
    <i r="1">
      <x v="122"/>
    </i>
    <i r="1">
      <x v="147"/>
    </i>
    <i>
      <x v="14"/>
    </i>
    <i r="1">
      <x v="26"/>
    </i>
    <i r="1">
      <x v="51"/>
    </i>
    <i r="1">
      <x v="86"/>
    </i>
    <i r="1">
      <x v="94"/>
    </i>
    <i r="1">
      <x v="95"/>
    </i>
    <i r="1">
      <x v="105"/>
    </i>
    <i r="1">
      <x v="128"/>
    </i>
    <i r="1">
      <x v="156"/>
    </i>
    <i>
      <x v="15"/>
    </i>
    <i r="1">
      <x v="7"/>
    </i>
    <i>
      <x v="16"/>
    </i>
    <i r="1">
      <x v="8"/>
    </i>
    <i r="1">
      <x v="16"/>
    </i>
    <i r="1">
      <x v="27"/>
    </i>
    <i r="1">
      <x v="30"/>
    </i>
    <i r="1">
      <x v="37"/>
    </i>
    <i r="1">
      <x v="60"/>
    </i>
    <i r="1">
      <x v="143"/>
    </i>
    <i r="1">
      <x v="152"/>
    </i>
    <i>
      <x v="17"/>
    </i>
    <i r="1">
      <x v="71"/>
    </i>
    <i>
      <x v="18"/>
    </i>
    <i r="1">
      <x v="42"/>
    </i>
    <i r="1">
      <x v="78"/>
    </i>
    <i r="1">
      <x v="119"/>
    </i>
    <i r="1">
      <x v="161"/>
    </i>
    <i>
      <x v="19"/>
    </i>
    <i r="1">
      <x v="13"/>
    </i>
    <i r="1">
      <x v="47"/>
    </i>
    <i r="1">
      <x v="52"/>
    </i>
    <i r="1">
      <x v="84"/>
    </i>
    <i r="1">
      <x v="113"/>
    </i>
    <i>
      <x v="20"/>
    </i>
    <i r="1">
      <x v="5"/>
    </i>
    <i r="1">
      <x v="82"/>
    </i>
    <i r="1">
      <x v="114"/>
    </i>
    <i r="1">
      <x v="131"/>
    </i>
    <i r="1">
      <x v="133"/>
    </i>
    <i>
      <x v="21"/>
    </i>
    <i r="1">
      <x v="32"/>
    </i>
    <i r="1">
      <x v="33"/>
    </i>
    <i r="1">
      <x v="40"/>
    </i>
    <i r="1">
      <x v="75"/>
    </i>
    <i r="1">
      <x v="77"/>
    </i>
    <i r="1">
      <x v="109"/>
    </i>
    <i r="1">
      <x v="116"/>
    </i>
    <i r="1">
      <x v="149"/>
    </i>
    <i r="1">
      <x v="150"/>
    </i>
    <i>
      <x v="22"/>
    </i>
    <i r="1">
      <x v="46"/>
    </i>
    <i r="1">
      <x v="48"/>
    </i>
    <i r="1">
      <x v="70"/>
    </i>
    <i r="1">
      <x v="86"/>
    </i>
    <i r="1">
      <x v="95"/>
    </i>
    <i r="1">
      <x v="103"/>
    </i>
    <i r="1">
      <x v="107"/>
    </i>
    <i r="1">
      <x v="110"/>
    </i>
    <i r="1">
      <x v="121"/>
    </i>
    <i r="1">
      <x v="138"/>
    </i>
    <i>
      <x v="23"/>
    </i>
    <i r="1">
      <x v="54"/>
    </i>
    <i r="1">
      <x v="62"/>
    </i>
    <i r="1">
      <x v="93"/>
    </i>
    <i r="1">
      <x v="100"/>
    </i>
    <i r="1">
      <x v="120"/>
    </i>
    <i r="1">
      <x v="133"/>
    </i>
    <i r="1">
      <x v="155"/>
    </i>
    <i>
      <x v="24"/>
    </i>
    <i r="1">
      <x v="31"/>
    </i>
    <i r="1">
      <x v="45"/>
    </i>
    <i r="1">
      <x v="57"/>
    </i>
    <i r="1">
      <x v="81"/>
    </i>
    <i r="1">
      <x v="95"/>
    </i>
    <i r="1">
      <x v="121"/>
    </i>
    <i r="1">
      <x v="123"/>
    </i>
    <i r="1">
      <x v="127"/>
    </i>
    <i r="1">
      <x v="140"/>
    </i>
    <i r="1">
      <x v="159"/>
    </i>
    <i>
      <x v="25"/>
    </i>
    <i r="1">
      <x v="14"/>
    </i>
    <i r="1">
      <x v="19"/>
    </i>
    <i r="1">
      <x v="22"/>
    </i>
    <i r="1">
      <x v="39"/>
    </i>
    <i r="1">
      <x v="59"/>
    </i>
    <i r="1">
      <x v="99"/>
    </i>
    <i r="1">
      <x v="108"/>
    </i>
    <i r="1">
      <x v="149"/>
    </i>
    <i>
      <x v="26"/>
    </i>
    <i r="1">
      <x v="19"/>
    </i>
    <i r="1">
      <x v="66"/>
    </i>
    <i r="1">
      <x v="76"/>
    </i>
    <i r="1">
      <x v="124"/>
    </i>
    <i r="1">
      <x v="162"/>
    </i>
    <i>
      <x v="27"/>
    </i>
    <i r="1">
      <x v="6"/>
    </i>
    <i r="1">
      <x v="9"/>
    </i>
    <i r="1">
      <x v="125"/>
    </i>
    <i r="1">
      <x v="143"/>
    </i>
    <i r="1">
      <x v="144"/>
    </i>
    <i r="1">
      <x v="146"/>
    </i>
    <i>
      <x v="28"/>
    </i>
    <i r="1">
      <x v="64"/>
    </i>
    <i r="1">
      <x v="89"/>
    </i>
    <i r="1">
      <x v="97"/>
    </i>
    <i r="1">
      <x v="98"/>
    </i>
    <i r="1">
      <x v="106"/>
    </i>
    <i r="1">
      <x v="126"/>
    </i>
    <i r="1">
      <x v="130"/>
    </i>
    <i r="1">
      <x v="135"/>
    </i>
    <i r="1">
      <x v="156"/>
    </i>
    <i>
      <x v="29"/>
    </i>
    <i r="1">
      <x v="2"/>
    </i>
    <i r="1">
      <x v="21"/>
    </i>
    <i r="1">
      <x v="83"/>
    </i>
    <i r="1">
      <x v="101"/>
    </i>
    <i r="1">
      <x v="117"/>
    </i>
    <i r="1">
      <x v="130"/>
    </i>
    <i r="1">
      <x v="136"/>
    </i>
    <i r="1">
      <x v="161"/>
    </i>
    <i>
      <x v="30"/>
    </i>
    <i r="1">
      <x v="34"/>
    </i>
    <i r="1">
      <x v="66"/>
    </i>
    <i r="1">
      <x v="92"/>
    </i>
    <i r="1">
      <x v="118"/>
    </i>
    <i r="1">
      <x v="125"/>
    </i>
    <i r="1">
      <x v="143"/>
    </i>
    <i r="1">
      <x v="158"/>
    </i>
    <i r="1">
      <x v="163"/>
    </i>
    <i>
      <x v="31"/>
    </i>
    <i r="1">
      <x v="24"/>
    </i>
    <i r="1">
      <x v="27"/>
    </i>
    <i r="1">
      <x v="53"/>
    </i>
    <i>
      <x v="32"/>
    </i>
    <i r="1">
      <x/>
    </i>
    <i r="1">
      <x v="4"/>
    </i>
    <i r="1">
      <x v="58"/>
    </i>
    <i r="1">
      <x v="85"/>
    </i>
    <i r="1">
      <x v="115"/>
    </i>
    <i r="1">
      <x v="137"/>
    </i>
    <i r="1">
      <x v="151"/>
    </i>
    <i>
      <x v="33"/>
    </i>
    <i r="1">
      <x v="29"/>
    </i>
    <i r="1">
      <x v="36"/>
    </i>
    <i r="1">
      <x v="47"/>
    </i>
    <i r="1">
      <x v="68"/>
    </i>
    <i r="1">
      <x v="141"/>
    </i>
    <i r="1">
      <x v="161"/>
    </i>
    <i>
      <x v="34"/>
    </i>
    <i r="1">
      <x v="38"/>
    </i>
    <i r="1">
      <x v="49"/>
    </i>
    <i r="1">
      <x v="56"/>
    </i>
    <i r="1">
      <x v="129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OrderValue" fld="7" baseField="0" baseItem="0"/>
    <dataField name="Average of Score" fld="11" subtotal="average" baseField="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5ABC90-2C4C-454A-873C-C7F4EDBF499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105" firstHeaderRow="0" firstDataRow="1" firstDataCol="1" rowPageCount="1" colPageCount="1"/>
  <pivotFields count="16">
    <pivotField showAll="0"/>
    <pivotField showAll="0"/>
    <pivotField showAll="0"/>
    <pivotField dataField="1" showAll="0"/>
    <pivotField showAll="0"/>
    <pivotField axis="axisRow" showAll="0">
      <items count="36">
        <item x="11"/>
        <item x="6"/>
        <item x="29"/>
        <item x="18"/>
        <item x="12"/>
        <item x="31"/>
        <item x="27"/>
        <item x="21"/>
        <item x="28"/>
        <item x="3"/>
        <item x="33"/>
        <item x="15"/>
        <item x="25"/>
        <item x="23"/>
        <item x="22"/>
        <item x="34"/>
        <item x="0"/>
        <item x="32"/>
        <item x="10"/>
        <item x="30"/>
        <item x="26"/>
        <item x="9"/>
        <item x="7"/>
        <item x="16"/>
        <item x="2"/>
        <item x="5"/>
        <item x="4"/>
        <item x="13"/>
        <item x="8"/>
        <item x="17"/>
        <item x="24"/>
        <item x="19"/>
        <item x="1"/>
        <item x="20"/>
        <item x="14"/>
        <item t="default"/>
      </items>
    </pivotField>
    <pivotField showAll="0"/>
    <pivotField dataField="1" numFmtId="164" showAll="0"/>
    <pivotField axis="axisRow" showAll="0">
      <items count="3">
        <item x="1"/>
        <item x="0"/>
        <item t="default"/>
      </items>
    </pivotField>
    <pivotField axis="axisPage" numFmtId="14" multipleItemSelectionAllowed="1" showAll="0">
      <items count="187">
        <item x="62"/>
        <item x="63"/>
        <item x="127"/>
        <item x="88"/>
        <item x="114"/>
        <item x="159"/>
        <item x="107"/>
        <item x="14"/>
        <item x="17"/>
        <item x="64"/>
        <item x="129"/>
        <item x="47"/>
        <item x="46"/>
        <item x="183"/>
        <item x="66"/>
        <item x="59"/>
        <item x="163"/>
        <item x="60"/>
        <item x="81"/>
        <item x="80"/>
        <item x="7"/>
        <item x="3"/>
        <item x="154"/>
        <item x="32"/>
        <item x="23"/>
        <item x="152"/>
        <item x="101"/>
        <item x="89"/>
        <item x="50"/>
        <item x="140"/>
        <item x="120"/>
        <item x="42"/>
        <item x="38"/>
        <item x="39"/>
        <item x="110"/>
        <item x="33"/>
        <item x="96"/>
        <item x="145"/>
        <item x="136"/>
        <item x="24"/>
        <item x="28"/>
        <item x="52"/>
        <item x="67"/>
        <item x="115"/>
        <item x="76"/>
        <item x="56"/>
        <item x="157"/>
        <item x="170"/>
        <item x="51"/>
        <item x="119"/>
        <item x="21"/>
        <item x="99"/>
        <item x="53"/>
        <item x="71"/>
        <item x="169"/>
        <item x="142"/>
        <item x="26"/>
        <item x="58"/>
        <item x="22"/>
        <item x="84"/>
        <item x="68"/>
        <item x="121"/>
        <item x="20"/>
        <item x="174"/>
        <item x="27"/>
        <item x="161"/>
        <item x="30"/>
        <item x="9"/>
        <item x="104"/>
        <item x="94"/>
        <item x="1"/>
        <item x="11"/>
        <item x="178"/>
        <item x="37"/>
        <item x="171"/>
        <item x="29"/>
        <item x="122"/>
        <item x="162"/>
        <item x="139"/>
        <item x="82"/>
        <item x="144"/>
        <item x="78"/>
        <item x="175"/>
        <item x="143"/>
        <item x="103"/>
        <item x="176"/>
        <item x="61"/>
        <item x="172"/>
        <item x="181"/>
        <item x="124"/>
        <item x="18"/>
        <item x="149"/>
        <item x="12"/>
        <item x="151"/>
        <item x="73"/>
        <item x="118"/>
        <item x="150"/>
        <item x="5"/>
        <item x="167"/>
        <item x="132"/>
        <item x="106"/>
        <item x="41"/>
        <item x="180"/>
        <item x="25"/>
        <item x="83"/>
        <item x="92"/>
        <item x="147"/>
        <item x="4"/>
        <item x="0"/>
        <item x="138"/>
        <item x="91"/>
        <item x="75"/>
        <item x="113"/>
        <item x="160"/>
        <item x="34"/>
        <item x="86"/>
        <item x="44"/>
        <item x="125"/>
        <item x="177"/>
        <item x="74"/>
        <item x="70"/>
        <item x="79"/>
        <item x="153"/>
        <item x="148"/>
        <item x="158"/>
        <item x="134"/>
        <item x="16"/>
        <item x="45"/>
        <item x="111"/>
        <item x="87"/>
        <item x="57"/>
        <item x="69"/>
        <item x="133"/>
        <item x="95"/>
        <item x="90"/>
        <item x="10"/>
        <item x="109"/>
        <item x="168"/>
        <item x="49"/>
        <item x="123"/>
        <item x="40"/>
        <item x="182"/>
        <item x="93"/>
        <item x="146"/>
        <item x="100"/>
        <item x="72"/>
        <item x="173"/>
        <item x="77"/>
        <item x="2"/>
        <item x="141"/>
        <item x="130"/>
        <item x="105"/>
        <item x="102"/>
        <item x="15"/>
        <item x="165"/>
        <item x="97"/>
        <item x="116"/>
        <item x="98"/>
        <item x="117"/>
        <item x="85"/>
        <item x="135"/>
        <item x="179"/>
        <item x="54"/>
        <item x="13"/>
        <item x="35"/>
        <item x="48"/>
        <item x="184"/>
        <item x="65"/>
        <item x="128"/>
        <item x="36"/>
        <item x="156"/>
        <item x="164"/>
        <item x="6"/>
        <item x="166"/>
        <item x="126"/>
        <item x="131"/>
        <item x="31"/>
        <item x="112"/>
        <item x="137"/>
        <item x="8"/>
        <item x="43"/>
        <item x="185"/>
        <item x="19"/>
        <item x="155"/>
        <item x="108"/>
        <item x="55"/>
        <item t="default"/>
      </items>
    </pivotField>
    <pivotField dataField="1" numFmtId="43" showAll="0"/>
    <pivotField dataField="1" numFmtId="43" showAll="0"/>
    <pivotField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</pivotFields>
  <rowFields count="2">
    <field x="5"/>
    <field x="8"/>
  </rowFields>
  <rowItems count="102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>
      <x v="4"/>
    </i>
    <i r="1">
      <x/>
    </i>
    <i r="1">
      <x v="1"/>
    </i>
    <i>
      <x v="5"/>
    </i>
    <i r="1">
      <x/>
    </i>
    <i r="1">
      <x v="1"/>
    </i>
    <i>
      <x v="6"/>
    </i>
    <i r="1">
      <x/>
    </i>
    <i>
      <x v="7"/>
    </i>
    <i r="1">
      <x/>
    </i>
    <i r="1">
      <x v="1"/>
    </i>
    <i>
      <x v="8"/>
    </i>
    <i r="1">
      <x/>
    </i>
    <i r="1">
      <x v="1"/>
    </i>
    <i>
      <x v="9"/>
    </i>
    <i r="1">
      <x/>
    </i>
    <i r="1">
      <x v="1"/>
    </i>
    <i>
      <x v="10"/>
    </i>
    <i r="1">
      <x/>
    </i>
    <i r="1">
      <x v="1"/>
    </i>
    <i>
      <x v="11"/>
    </i>
    <i r="1">
      <x/>
    </i>
    <i r="1">
      <x v="1"/>
    </i>
    <i>
      <x v="12"/>
    </i>
    <i r="1">
      <x/>
    </i>
    <i r="1">
      <x v="1"/>
    </i>
    <i>
      <x v="13"/>
    </i>
    <i r="1">
      <x/>
    </i>
    <i r="1">
      <x v="1"/>
    </i>
    <i>
      <x v="14"/>
    </i>
    <i r="1">
      <x/>
    </i>
    <i r="1">
      <x v="1"/>
    </i>
    <i>
      <x v="15"/>
    </i>
    <i r="1">
      <x/>
    </i>
    <i>
      <x v="16"/>
    </i>
    <i r="1">
      <x/>
    </i>
    <i r="1">
      <x v="1"/>
    </i>
    <i>
      <x v="17"/>
    </i>
    <i r="1">
      <x v="1"/>
    </i>
    <i>
      <x v="18"/>
    </i>
    <i r="1">
      <x/>
    </i>
    <i r="1">
      <x v="1"/>
    </i>
    <i>
      <x v="19"/>
    </i>
    <i r="1">
      <x/>
    </i>
    <i r="1">
      <x v="1"/>
    </i>
    <i>
      <x v="20"/>
    </i>
    <i r="1">
      <x/>
    </i>
    <i r="1">
      <x v="1"/>
    </i>
    <i>
      <x v="21"/>
    </i>
    <i r="1">
      <x/>
    </i>
    <i r="1">
      <x v="1"/>
    </i>
    <i>
      <x v="22"/>
    </i>
    <i r="1">
      <x/>
    </i>
    <i r="1">
      <x v="1"/>
    </i>
    <i>
      <x v="23"/>
    </i>
    <i r="1">
      <x/>
    </i>
    <i r="1">
      <x v="1"/>
    </i>
    <i>
      <x v="24"/>
    </i>
    <i r="1">
      <x/>
    </i>
    <i r="1">
      <x v="1"/>
    </i>
    <i>
      <x v="25"/>
    </i>
    <i r="1">
      <x/>
    </i>
    <i r="1">
      <x v="1"/>
    </i>
    <i>
      <x v="26"/>
    </i>
    <i r="1">
      <x/>
    </i>
    <i r="1">
      <x v="1"/>
    </i>
    <i>
      <x v="27"/>
    </i>
    <i r="1">
      <x/>
    </i>
    <i r="1">
      <x v="1"/>
    </i>
    <i>
      <x v="28"/>
    </i>
    <i r="1">
      <x/>
    </i>
    <i r="1">
      <x v="1"/>
    </i>
    <i>
      <x v="29"/>
    </i>
    <i r="1">
      <x/>
    </i>
    <i r="1">
      <x v="1"/>
    </i>
    <i>
      <x v="30"/>
    </i>
    <i r="1">
      <x/>
    </i>
    <i r="1">
      <x v="1"/>
    </i>
    <i>
      <x v="31"/>
    </i>
    <i r="1">
      <x/>
    </i>
    <i r="1">
      <x v="1"/>
    </i>
    <i>
      <x v="32"/>
    </i>
    <i r="1">
      <x/>
    </i>
    <i r="1">
      <x v="1"/>
    </i>
    <i>
      <x v="33"/>
    </i>
    <i r="1">
      <x/>
    </i>
    <i r="1">
      <x v="1"/>
    </i>
    <i>
      <x v="34"/>
    </i>
    <i r="1">
      <x v="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9" hier="-1"/>
  </pageFields>
  <dataFields count="4">
    <dataField name="Sum of OrderValue" fld="7" baseField="0" baseItem="0"/>
    <dataField name="Average of Rating" fld="10" subtotal="average" baseField="5" baseItem="1"/>
    <dataField name="Count of Score" fld="11" subtotal="count" showDataAs="percentOfTotal" baseField="8" baseItem="0" numFmtId="10"/>
    <dataField name="Count of PostalZip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2B5079-6B18-4D66-AA94-F999746B3D52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S3:V4" firstHeaderRow="0" firstDataRow="1" firstDataCol="0"/>
  <pivotFields count="16">
    <pivotField showAll="0"/>
    <pivotField showAll="0"/>
    <pivotField showAll="0"/>
    <pivotField showAll="0"/>
    <pivotField showAll="0"/>
    <pivotField showAll="0"/>
    <pivotField showAll="0"/>
    <pivotField dataField="1" numFmtId="164" showAll="0"/>
    <pivotField showAll="0"/>
    <pivotField numFmtId="14" showAll="0">
      <items count="187">
        <item x="62"/>
        <item x="63"/>
        <item x="127"/>
        <item x="88"/>
        <item x="114"/>
        <item x="159"/>
        <item x="107"/>
        <item x="14"/>
        <item x="17"/>
        <item x="64"/>
        <item x="129"/>
        <item x="47"/>
        <item x="46"/>
        <item x="183"/>
        <item x="66"/>
        <item x="59"/>
        <item x="163"/>
        <item x="60"/>
        <item x="81"/>
        <item x="80"/>
        <item x="7"/>
        <item x="3"/>
        <item x="154"/>
        <item x="32"/>
        <item x="23"/>
        <item x="152"/>
        <item x="101"/>
        <item x="89"/>
        <item x="50"/>
        <item x="140"/>
        <item x="120"/>
        <item x="42"/>
        <item x="38"/>
        <item x="39"/>
        <item x="110"/>
        <item x="33"/>
        <item x="96"/>
        <item x="145"/>
        <item x="136"/>
        <item x="24"/>
        <item x="28"/>
        <item x="52"/>
        <item x="67"/>
        <item x="115"/>
        <item x="76"/>
        <item x="56"/>
        <item x="157"/>
        <item x="170"/>
        <item x="51"/>
        <item x="119"/>
        <item x="21"/>
        <item x="99"/>
        <item x="53"/>
        <item x="71"/>
        <item x="169"/>
        <item x="142"/>
        <item x="26"/>
        <item x="58"/>
        <item x="22"/>
        <item x="84"/>
        <item x="68"/>
        <item x="121"/>
        <item x="20"/>
        <item x="174"/>
        <item x="27"/>
        <item x="161"/>
        <item x="30"/>
        <item x="9"/>
        <item x="104"/>
        <item x="94"/>
        <item x="1"/>
        <item x="11"/>
        <item x="178"/>
        <item x="37"/>
        <item x="171"/>
        <item x="29"/>
        <item x="122"/>
        <item x="162"/>
        <item x="139"/>
        <item x="82"/>
        <item x="144"/>
        <item x="78"/>
        <item x="175"/>
        <item x="143"/>
        <item x="103"/>
        <item x="176"/>
        <item x="61"/>
        <item x="172"/>
        <item x="181"/>
        <item x="124"/>
        <item x="18"/>
        <item x="149"/>
        <item x="12"/>
        <item x="151"/>
        <item x="73"/>
        <item x="118"/>
        <item x="150"/>
        <item x="5"/>
        <item x="167"/>
        <item x="132"/>
        <item x="106"/>
        <item x="41"/>
        <item x="180"/>
        <item x="25"/>
        <item x="83"/>
        <item x="92"/>
        <item x="147"/>
        <item x="4"/>
        <item x="0"/>
        <item x="138"/>
        <item x="91"/>
        <item x="75"/>
        <item x="113"/>
        <item x="160"/>
        <item x="34"/>
        <item x="86"/>
        <item x="44"/>
        <item x="125"/>
        <item x="177"/>
        <item x="74"/>
        <item x="70"/>
        <item x="79"/>
        <item x="153"/>
        <item x="148"/>
        <item x="158"/>
        <item x="134"/>
        <item x="16"/>
        <item x="45"/>
        <item x="111"/>
        <item x="87"/>
        <item x="57"/>
        <item x="69"/>
        <item x="133"/>
        <item x="95"/>
        <item x="90"/>
        <item x="10"/>
        <item x="109"/>
        <item x="168"/>
        <item x="49"/>
        <item x="123"/>
        <item x="40"/>
        <item x="182"/>
        <item x="93"/>
        <item x="146"/>
        <item x="100"/>
        <item x="72"/>
        <item x="173"/>
        <item x="77"/>
        <item x="2"/>
        <item x="141"/>
        <item x="130"/>
        <item x="105"/>
        <item x="102"/>
        <item x="15"/>
        <item x="165"/>
        <item x="97"/>
        <item x="116"/>
        <item x="98"/>
        <item x="117"/>
        <item x="85"/>
        <item x="135"/>
        <item x="179"/>
        <item x="54"/>
        <item x="13"/>
        <item x="35"/>
        <item x="48"/>
        <item x="184"/>
        <item x="65"/>
        <item x="128"/>
        <item x="36"/>
        <item x="156"/>
        <item x="164"/>
        <item x="6"/>
        <item x="166"/>
        <item x="126"/>
        <item x="131"/>
        <item x="31"/>
        <item x="112"/>
        <item x="137"/>
        <item x="8"/>
        <item x="43"/>
        <item x="185"/>
        <item x="19"/>
        <item x="155"/>
        <item x="108"/>
        <item x="55"/>
        <item t="default"/>
      </items>
    </pivotField>
    <pivotField dataField="1" numFmtId="43" showAll="0"/>
    <pivotField dataField="1" numFmtId="43" showAll="0"/>
    <pivotField dataField="1"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OrderValue" fld="7" baseField="0" baseItem="0"/>
    <dataField name="Sum of Rating" fld="10" baseField="0" baseItem="0"/>
    <dataField name="Sum of Score" fld="11" baseField="0" baseItem="0"/>
    <dataField name="Sum of Calc Field 0" fld="12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2C0CFB-DE18-4EAD-A159-827F53F3BEE5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2:ATZ209" firstHeaderRow="1" firstDataRow="7" firstDataCol="1"/>
  <pivotFields count="16">
    <pivotField showAll="0"/>
    <pivotField showAll="0"/>
    <pivotField showAll="0"/>
    <pivotField axis="axisRow" showAll="0" sumSubtotal="1" countASubtotal="1">
      <items count="202">
        <item x="62"/>
        <item x="138"/>
        <item x="23"/>
        <item x="102"/>
        <item x="70"/>
        <item x="169"/>
        <item x="137"/>
        <item x="21"/>
        <item x="95"/>
        <item x="124"/>
        <item x="122"/>
        <item x="128"/>
        <item x="31"/>
        <item x="8"/>
        <item x="131"/>
        <item x="162"/>
        <item x="198"/>
        <item x="96"/>
        <item x="86"/>
        <item x="133"/>
        <item x="107"/>
        <item x="153"/>
        <item x="37"/>
        <item x="115"/>
        <item x="59"/>
        <item x="118"/>
        <item x="146"/>
        <item x="92"/>
        <item x="52"/>
        <item x="94"/>
        <item x="30"/>
        <item x="68"/>
        <item x="151"/>
        <item x="111"/>
        <item x="140"/>
        <item x="119"/>
        <item x="78"/>
        <item x="3"/>
        <item x="184"/>
        <item x="174"/>
        <item x="197"/>
        <item x="104"/>
        <item x="157"/>
        <item x="166"/>
        <item x="12"/>
        <item x="176"/>
        <item x="185"/>
        <item x="89"/>
        <item x="99"/>
        <item x="170"/>
        <item x="190"/>
        <item x="177"/>
        <item x="71"/>
        <item x="106"/>
        <item x="6"/>
        <item x="149"/>
        <item x="199"/>
        <item x="196"/>
        <item x="50"/>
        <item x="191"/>
        <item x="135"/>
        <item x="179"/>
        <item x="193"/>
        <item x="5"/>
        <item x="186"/>
        <item x="123"/>
        <item x="113"/>
        <item x="171"/>
        <item x="61"/>
        <item x="173"/>
        <item x="39"/>
        <item x="181"/>
        <item x="88"/>
        <item x="29"/>
        <item x="189"/>
        <item x="141"/>
        <item x="45"/>
        <item x="77"/>
        <item x="114"/>
        <item x="17"/>
        <item x="103"/>
        <item x="26"/>
        <item x="98"/>
        <item x="126"/>
        <item x="14"/>
        <item x="33"/>
        <item x="167"/>
        <item x="180"/>
        <item x="90"/>
        <item x="108"/>
        <item x="130"/>
        <item x="2"/>
        <item x="9"/>
        <item x="4"/>
        <item x="82"/>
        <item x="194"/>
        <item x="134"/>
        <item x="144"/>
        <item x="125"/>
        <item x="0"/>
        <item x="142"/>
        <item x="66"/>
        <item x="40"/>
        <item x="178"/>
        <item x="43"/>
        <item x="93"/>
        <item x="105"/>
        <item x="1"/>
        <item x="57"/>
        <item x="97"/>
        <item x="163"/>
        <item x="159"/>
        <item x="22"/>
        <item x="34"/>
        <item x="49"/>
        <item x="38"/>
        <item x="160"/>
        <item x="175"/>
        <item x="79"/>
        <item x="36"/>
        <item x="152"/>
        <item x="161"/>
        <item x="154"/>
        <item x="120"/>
        <item x="72"/>
        <item x="35"/>
        <item x="83"/>
        <item x="147"/>
        <item x="165"/>
        <item x="110"/>
        <item x="60"/>
        <item x="116"/>
        <item x="56"/>
        <item x="85"/>
        <item x="139"/>
        <item x="32"/>
        <item x="168"/>
        <item x="65"/>
        <item x="150"/>
        <item x="109"/>
        <item x="46"/>
        <item x="13"/>
        <item x="7"/>
        <item x="195"/>
        <item x="24"/>
        <item x="148"/>
        <item x="192"/>
        <item x="164"/>
        <item x="42"/>
        <item x="41"/>
        <item x="64"/>
        <item x="54"/>
        <item x="91"/>
        <item x="158"/>
        <item x="187"/>
        <item x="112"/>
        <item x="121"/>
        <item x="73"/>
        <item x="87"/>
        <item x="81"/>
        <item x="155"/>
        <item x="10"/>
        <item x="18"/>
        <item x="48"/>
        <item x="58"/>
        <item x="47"/>
        <item x="51"/>
        <item x="183"/>
        <item x="172"/>
        <item x="156"/>
        <item x="69"/>
        <item x="100"/>
        <item x="11"/>
        <item x="80"/>
        <item x="136"/>
        <item x="16"/>
        <item x="76"/>
        <item x="127"/>
        <item x="27"/>
        <item x="84"/>
        <item x="55"/>
        <item x="132"/>
        <item x="188"/>
        <item x="117"/>
        <item x="19"/>
        <item x="75"/>
        <item x="143"/>
        <item x="20"/>
        <item x="63"/>
        <item x="25"/>
        <item x="182"/>
        <item x="44"/>
        <item x="67"/>
        <item x="28"/>
        <item x="74"/>
        <item x="129"/>
        <item x="101"/>
        <item x="145"/>
        <item x="15"/>
        <item x="53"/>
        <item t="sum"/>
        <item t="countA"/>
      </items>
    </pivotField>
    <pivotField axis="axisCol" showAll="0" sumSubtotal="1" avgSubtotal="1">
      <items count="166">
        <item x="63"/>
        <item x="45"/>
        <item x="155"/>
        <item x="40"/>
        <item x="1"/>
        <item x="124"/>
        <item x="110"/>
        <item x="138"/>
        <item x="162"/>
        <item x="37"/>
        <item x="107"/>
        <item x="142"/>
        <item x="156"/>
        <item x="152"/>
        <item x="30"/>
        <item x="97"/>
        <item x="0"/>
        <item x="31"/>
        <item x="136"/>
        <item x="51"/>
        <item x="130"/>
        <item x="95"/>
        <item x="24"/>
        <item x="76"/>
        <item x="27"/>
        <item x="39"/>
        <item x="74"/>
        <item x="23"/>
        <item x="126"/>
        <item x="28"/>
        <item x="41"/>
        <item x="146"/>
        <item x="9"/>
        <item x="15"/>
        <item x="60"/>
        <item x="94"/>
        <item x="159"/>
        <item x="112"/>
        <item x="16"/>
        <item x="158"/>
        <item x="42"/>
        <item x="106"/>
        <item x="10"/>
        <item x="105"/>
        <item x="21"/>
        <item x="86"/>
        <item x="117"/>
        <item x="75"/>
        <item x="102"/>
        <item x="26"/>
        <item x="145"/>
        <item x="154"/>
        <item x="133"/>
        <item x="82"/>
        <item x="114"/>
        <item x="128"/>
        <item x="69"/>
        <item x="67"/>
        <item x="25"/>
        <item x="35"/>
        <item x="88"/>
        <item x="84"/>
        <item x="18"/>
        <item x="13"/>
        <item x="22"/>
        <item x="122"/>
        <item x="55"/>
        <item x="66"/>
        <item x="61"/>
        <item x="77"/>
        <item x="68"/>
        <item x="129"/>
        <item x="108"/>
        <item x="100"/>
        <item x="92"/>
        <item x="93"/>
        <item x="140"/>
        <item x="33"/>
        <item x="111"/>
        <item x="144"/>
        <item x="6"/>
        <item x="32"/>
        <item x="120"/>
        <item x="71"/>
        <item x="72"/>
        <item x="52"/>
        <item x="70"/>
        <item x="116"/>
        <item x="36"/>
        <item x="121"/>
        <item x="151"/>
        <item x="62"/>
        <item x="123"/>
        <item x="163"/>
        <item x="147"/>
        <item x="96"/>
        <item x="46"/>
        <item x="104"/>
        <item x="98"/>
        <item x="83"/>
        <item x="59"/>
        <item x="81"/>
        <item x="141"/>
        <item x="7"/>
        <item x="3"/>
        <item x="38"/>
        <item x="90"/>
        <item x="50"/>
        <item x="5"/>
        <item x="137"/>
        <item x="79"/>
        <item x="11"/>
        <item x="12"/>
        <item x="118"/>
        <item x="109"/>
        <item x="103"/>
        <item x="99"/>
        <item x="19"/>
        <item x="56"/>
        <item x="149"/>
        <item x="65"/>
        <item x="29"/>
        <item x="134"/>
        <item x="2"/>
        <item x="4"/>
        <item x="14"/>
        <item x="8"/>
        <item x="58"/>
        <item x="153"/>
        <item x="20"/>
        <item x="127"/>
        <item x="135"/>
        <item x="54"/>
        <item x="49"/>
        <item x="115"/>
        <item x="157"/>
        <item x="73"/>
        <item x="89"/>
        <item x="160"/>
        <item x="48"/>
        <item x="125"/>
        <item x="148"/>
        <item x="131"/>
        <item x="44"/>
        <item x="47"/>
        <item x="53"/>
        <item x="17"/>
        <item x="113"/>
        <item x="78"/>
        <item x="43"/>
        <item x="91"/>
        <item x="85"/>
        <item x="139"/>
        <item x="80"/>
        <item x="161"/>
        <item x="34"/>
        <item x="101"/>
        <item x="57"/>
        <item x="150"/>
        <item x="119"/>
        <item x="143"/>
        <item x="87"/>
        <item x="132"/>
        <item x="64"/>
        <item t="sum"/>
        <item t="avg"/>
      </items>
    </pivotField>
    <pivotField axis="axisCol" showAll="0">
      <items count="36">
        <item x="11"/>
        <item x="6"/>
        <item x="29"/>
        <item x="18"/>
        <item x="12"/>
        <item x="31"/>
        <item x="27"/>
        <item x="21"/>
        <item x="28"/>
        <item x="3"/>
        <item x="33"/>
        <item x="15"/>
        <item x="25"/>
        <item x="23"/>
        <item x="22"/>
        <item x="34"/>
        <item x="0"/>
        <item x="32"/>
        <item x="10"/>
        <item x="30"/>
        <item x="26"/>
        <item x="9"/>
        <item x="7"/>
        <item x="16"/>
        <item x="2"/>
        <item x="5"/>
        <item x="4"/>
        <item x="13"/>
        <item x="8"/>
        <item x="17"/>
        <item x="24"/>
        <item x="19"/>
        <item x="1"/>
        <item x="20"/>
        <item x="14"/>
        <item t="default"/>
      </items>
    </pivotField>
    <pivotField showAll="0"/>
    <pivotField dataField="1" numFmtId="164" showAll="0"/>
    <pivotField showAll="0"/>
    <pivotField axis="axisCol" numFmtId="14" showAll="0">
      <items count="187">
        <item x="62"/>
        <item x="63"/>
        <item x="127"/>
        <item x="88"/>
        <item x="114"/>
        <item x="159"/>
        <item x="107"/>
        <item x="14"/>
        <item x="17"/>
        <item x="64"/>
        <item x="129"/>
        <item x="47"/>
        <item x="46"/>
        <item x="183"/>
        <item x="66"/>
        <item x="59"/>
        <item x="163"/>
        <item x="60"/>
        <item x="81"/>
        <item x="80"/>
        <item x="7"/>
        <item x="3"/>
        <item x="154"/>
        <item x="32"/>
        <item x="23"/>
        <item x="152"/>
        <item x="101"/>
        <item x="89"/>
        <item x="50"/>
        <item x="140"/>
        <item x="120"/>
        <item x="42"/>
        <item x="38"/>
        <item x="39"/>
        <item x="110"/>
        <item x="33"/>
        <item x="96"/>
        <item x="145"/>
        <item x="136"/>
        <item x="24"/>
        <item x="28"/>
        <item x="52"/>
        <item x="67"/>
        <item x="115"/>
        <item x="76"/>
        <item x="56"/>
        <item x="157"/>
        <item x="170"/>
        <item x="51"/>
        <item x="119"/>
        <item x="21"/>
        <item x="99"/>
        <item x="53"/>
        <item x="71"/>
        <item x="169"/>
        <item x="142"/>
        <item x="26"/>
        <item x="58"/>
        <item x="22"/>
        <item x="84"/>
        <item x="68"/>
        <item x="121"/>
        <item x="20"/>
        <item x="174"/>
        <item x="27"/>
        <item x="161"/>
        <item x="30"/>
        <item x="9"/>
        <item x="104"/>
        <item x="94"/>
        <item x="1"/>
        <item x="11"/>
        <item x="178"/>
        <item x="37"/>
        <item x="171"/>
        <item x="29"/>
        <item x="122"/>
        <item x="162"/>
        <item x="139"/>
        <item x="82"/>
        <item x="144"/>
        <item x="78"/>
        <item x="175"/>
        <item x="143"/>
        <item x="103"/>
        <item x="176"/>
        <item x="61"/>
        <item x="172"/>
        <item x="181"/>
        <item x="124"/>
        <item x="18"/>
        <item x="149"/>
        <item x="12"/>
        <item x="151"/>
        <item x="73"/>
        <item x="118"/>
        <item x="150"/>
        <item x="5"/>
        <item x="167"/>
        <item x="132"/>
        <item x="106"/>
        <item x="41"/>
        <item x="180"/>
        <item x="25"/>
        <item x="83"/>
        <item x="92"/>
        <item x="147"/>
        <item x="4"/>
        <item x="0"/>
        <item x="138"/>
        <item x="91"/>
        <item x="75"/>
        <item x="113"/>
        <item x="160"/>
        <item x="34"/>
        <item x="86"/>
        <item x="44"/>
        <item x="125"/>
        <item x="177"/>
        <item x="74"/>
        <item x="70"/>
        <item x="79"/>
        <item x="153"/>
        <item x="148"/>
        <item x="158"/>
        <item x="134"/>
        <item x="16"/>
        <item x="45"/>
        <item x="111"/>
        <item x="87"/>
        <item x="57"/>
        <item x="69"/>
        <item x="133"/>
        <item x="95"/>
        <item x="90"/>
        <item x="10"/>
        <item x="109"/>
        <item x="168"/>
        <item x="49"/>
        <item x="123"/>
        <item x="40"/>
        <item x="182"/>
        <item x="93"/>
        <item x="146"/>
        <item x="100"/>
        <item x="72"/>
        <item x="173"/>
        <item x="77"/>
        <item x="2"/>
        <item x="141"/>
        <item x="130"/>
        <item x="105"/>
        <item x="102"/>
        <item x="15"/>
        <item x="165"/>
        <item x="97"/>
        <item x="116"/>
        <item x="98"/>
        <item x="117"/>
        <item x="85"/>
        <item x="135"/>
        <item x="179"/>
        <item x="54"/>
        <item x="13"/>
        <item x="35"/>
        <item x="48"/>
        <item x="184"/>
        <item x="65"/>
        <item x="128"/>
        <item x="36"/>
        <item x="156"/>
        <item x="164"/>
        <item x="6"/>
        <item x="166"/>
        <item x="126"/>
        <item x="131"/>
        <item x="31"/>
        <item x="112"/>
        <item x="137"/>
        <item x="8"/>
        <item x="43"/>
        <item x="185"/>
        <item x="19"/>
        <item x="155"/>
        <item x="108"/>
        <item x="55"/>
        <item t="default"/>
      </items>
    </pivotField>
    <pivotField numFmtId="43" showAll="0"/>
    <pivotField numFmtId="43" showAll="0"/>
    <pivotField dragToRow="0" dragToCol="0" dragToPage="0" showAll="0" defaultSubtotal="0"/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x="7"/>
        <item x="8"/>
        <item sd="0" x="9"/>
        <item sd="0" x="10"/>
        <item sd="0" x="11"/>
        <item sd="0" x="12"/>
        <item sd="0" x="13"/>
        <item t="default"/>
      </items>
    </pivotField>
    <pivotField axis="axisCol" showAll="0">
      <items count="7">
        <item sd="0" x="0"/>
        <item sd="0" x="1"/>
        <item x="2"/>
        <item x="3"/>
        <item sd="0" x="4"/>
        <item sd="0" x="5"/>
        <item t="default"/>
      </items>
    </pivotField>
    <pivotField axis="axisCol" showAll="0" countASubtotal="1" maxSubtotal="1" countSubtotal="1">
      <items count="11">
        <item sd="0" x="0"/>
        <item x="1"/>
        <item sd="0" x="2"/>
        <item x="3"/>
        <item x="4"/>
        <item x="5"/>
        <item sd="0" x="6"/>
        <item sd="0" x="7"/>
        <item t="countA"/>
        <item t="max"/>
        <item t="count"/>
      </items>
    </pivotField>
  </pivotFields>
  <rowFields count="1">
    <field x="3"/>
  </rowFields>
  <rowItems count="20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 t="grand">
      <x/>
    </i>
  </rowItems>
  <colFields count="6">
    <field x="5"/>
    <field x="4"/>
    <field x="15"/>
    <field x="14"/>
    <field x="13"/>
    <field x="9"/>
  </colFields>
  <colItems count="1220">
    <i>
      <x/>
      <x v="40"/>
      <x v="4"/>
      <x v="3"/>
      <x v="7"/>
      <x v="116"/>
    </i>
    <i t="default" r="4">
      <x v="7"/>
    </i>
    <i t="default" r="3">
      <x v="3"/>
    </i>
    <i t="countA" r="2">
      <x v="4"/>
    </i>
    <i t="max" r="2">
      <x v="4"/>
    </i>
    <i t="count" r="2">
      <x v="4"/>
    </i>
    <i t="sum" r="1">
      <x v="40"/>
    </i>
    <i t="avg" r="1">
      <x v="40"/>
    </i>
    <i r="1">
      <x v="91"/>
      <x v="1"/>
      <x v="3"/>
      <x v="8"/>
      <x v="9"/>
    </i>
    <i t="default" r="4">
      <x v="8"/>
    </i>
    <i t="default" r="3">
      <x v="3"/>
    </i>
    <i t="countA" r="2">
      <x v="1"/>
    </i>
    <i t="max" r="2">
      <x v="1"/>
    </i>
    <i t="count" r="2">
      <x v="1"/>
    </i>
    <i t="sum" r="1">
      <x v="91"/>
    </i>
    <i t="avg" r="1">
      <x v="91"/>
    </i>
    <i r="1">
      <x v="111"/>
      <x v="3"/>
      <x v="2"/>
      <x v="4"/>
    </i>
    <i t="default" r="3">
      <x v="2"/>
    </i>
    <i t="countA" r="2">
      <x v="3"/>
    </i>
    <i t="max" r="2">
      <x v="3"/>
    </i>
    <i t="count" r="2">
      <x v="3"/>
    </i>
    <i t="sum" r="1">
      <x v="111"/>
    </i>
    <i t="avg" r="1">
      <x v="111"/>
    </i>
    <i r="1">
      <x v="112"/>
      <x v="3"/>
      <x v="4"/>
    </i>
    <i t="countA" r="2">
      <x v="3"/>
    </i>
    <i t="max" r="2">
      <x v="3"/>
    </i>
    <i t="count" r="2">
      <x v="3"/>
    </i>
    <i t="sum" r="1">
      <x v="112"/>
    </i>
    <i t="avg" r="1">
      <x v="112"/>
    </i>
    <i r="1">
      <x v="139"/>
      <x v="2"/>
    </i>
    <i t="sum" r="1">
      <x v="139"/>
    </i>
    <i t="avg" r="1">
      <x v="139"/>
    </i>
    <i t="default">
      <x/>
    </i>
    <i>
      <x v="1"/>
      <x v="55"/>
      <x v="4"/>
      <x v="2"/>
      <x v="4"/>
    </i>
    <i t="default" r="3">
      <x v="2"/>
    </i>
    <i t="countA" r="2">
      <x v="4"/>
    </i>
    <i t="max" r="2">
      <x v="4"/>
    </i>
    <i t="count" r="2">
      <x v="4"/>
    </i>
    <i t="sum" r="1">
      <x v="55"/>
    </i>
    <i t="avg" r="1">
      <x v="55"/>
    </i>
    <i r="1">
      <x v="79"/>
      <x v="5"/>
      <x v="3"/>
      <x v="9"/>
    </i>
    <i t="default" r="3">
      <x v="3"/>
    </i>
    <i t="countA" r="2">
      <x v="5"/>
    </i>
    <i t="max" r="2">
      <x v="5"/>
    </i>
    <i t="count" r="2">
      <x v="5"/>
    </i>
    <i t="sum" r="1">
      <x v="79"/>
    </i>
    <i t="avg" r="1">
      <x v="79"/>
    </i>
    <i r="1">
      <x v="80"/>
      <x v="5"/>
      <x v="3"/>
      <x v="8"/>
      <x v="172"/>
    </i>
    <i t="default" r="4">
      <x v="8"/>
    </i>
    <i t="default" r="3">
      <x v="3"/>
    </i>
    <i t="countA" r="2">
      <x v="5"/>
    </i>
    <i t="max" r="2">
      <x v="5"/>
    </i>
    <i t="count" r="2">
      <x v="5"/>
    </i>
    <i t="sum" r="1">
      <x v="80"/>
    </i>
    <i t="avg" r="1">
      <x v="80"/>
    </i>
    <i r="1">
      <x v="87"/>
      <x v="5"/>
      <x v="3"/>
      <x v="9"/>
    </i>
    <i t="default" r="3">
      <x v="3"/>
    </i>
    <i t="countA" r="2">
      <x v="5"/>
    </i>
    <i t="max" r="2">
      <x v="5"/>
    </i>
    <i t="count" r="2">
      <x v="5"/>
    </i>
    <i t="sum" r="1">
      <x v="87"/>
    </i>
    <i t="avg" r="1">
      <x v="87"/>
    </i>
    <i r="1">
      <x v="90"/>
      <x v="5"/>
      <x v="3"/>
      <x v="9"/>
    </i>
    <i t="default" r="3">
      <x v="3"/>
    </i>
    <i t="countA" r="2">
      <x v="5"/>
    </i>
    <i t="max" r="2">
      <x v="5"/>
    </i>
    <i t="count" r="2">
      <x v="5"/>
    </i>
    <i t="sum" r="1">
      <x v="90"/>
    </i>
    <i t="avg" r="1">
      <x v="90"/>
    </i>
    <i r="1">
      <x v="142"/>
      <x v="2"/>
    </i>
    <i t="sum" r="1">
      <x v="142"/>
    </i>
    <i t="avg" r="1">
      <x v="142"/>
    </i>
    <i r="1">
      <x v="156"/>
      <x v="3"/>
      <x v="2"/>
      <x v="5"/>
    </i>
    <i t="default" r="3">
      <x v="2"/>
    </i>
    <i t="countA" r="2">
      <x v="3"/>
    </i>
    <i t="max" r="2">
      <x v="3"/>
    </i>
    <i t="count" r="2">
      <x v="3"/>
    </i>
    <i t="sum" r="1">
      <x v="156"/>
    </i>
    <i t="avg" r="1">
      <x v="156"/>
    </i>
    <i t="default">
      <x v="1"/>
    </i>
    <i>
      <x v="2"/>
      <x v="3"/>
      <x v="3"/>
      <x v="3"/>
      <x v="7"/>
      <x v="82"/>
    </i>
    <i t="default" r="4">
      <x v="7"/>
    </i>
    <i t="default" r="3">
      <x v="3"/>
    </i>
    <i t="countA" r="2">
      <x v="3"/>
    </i>
    <i t="max" r="2">
      <x v="3"/>
    </i>
    <i t="count" r="2">
      <x v="3"/>
    </i>
    <i t="sum" r="1">
      <x v="3"/>
    </i>
    <i t="avg" r="1">
      <x v="3"/>
    </i>
    <i r="1">
      <x v="11"/>
      <x v="1"/>
      <x v="4"/>
    </i>
    <i t="countA" r="2">
      <x v="1"/>
    </i>
    <i t="max" r="2">
      <x v="1"/>
    </i>
    <i t="count" r="2">
      <x v="1"/>
    </i>
    <i t="sum" r="1">
      <x v="11"/>
    </i>
    <i t="avg" r="1">
      <x v="11"/>
    </i>
    <i r="1">
      <x v="48"/>
      <x v="4"/>
      <x v="4"/>
    </i>
    <i t="countA" r="2">
      <x v="4"/>
    </i>
    <i t="max" r="2">
      <x v="4"/>
    </i>
    <i t="count" r="2">
      <x v="4"/>
    </i>
    <i t="sum" r="1">
      <x v="48"/>
    </i>
    <i t="avg" r="1">
      <x v="48"/>
    </i>
    <i r="1">
      <x v="61"/>
      <x v="4"/>
      <x v="2"/>
      <x v="5"/>
    </i>
    <i t="default" r="3">
      <x v="2"/>
    </i>
    <i t="countA" r="2">
      <x v="4"/>
    </i>
    <i t="max" r="2">
      <x v="4"/>
    </i>
    <i t="count" r="2">
      <x v="4"/>
    </i>
    <i t="sum" r="1">
      <x v="61"/>
    </i>
    <i t="avg" r="1">
      <x v="61"/>
    </i>
    <i r="1">
      <x v="121"/>
      <x v="1"/>
      <x v="3"/>
      <x v="7"/>
      <x v="8"/>
    </i>
    <i t="default" r="4">
      <x v="7"/>
    </i>
    <i t="default" r="3">
      <x v="3"/>
    </i>
    <i t="countA" r="2">
      <x v="1"/>
    </i>
    <i t="max" r="2">
      <x v="1"/>
    </i>
    <i t="count" r="2">
      <x v="1"/>
    </i>
    <i t="sum" r="1">
      <x v="121"/>
    </i>
    <i t="avg" r="1">
      <x v="121"/>
    </i>
    <i r="1">
      <x v="126"/>
      <x v="1"/>
      <x v="2"/>
      <x v="5"/>
    </i>
    <i t="default" r="3">
      <x v="2"/>
    </i>
    <i t="countA" r="2">
      <x v="1"/>
    </i>
    <i t="max" r="2">
      <x v="1"/>
    </i>
    <i t="count" r="2">
      <x v="1"/>
    </i>
    <i t="sum" r="1">
      <x v="126"/>
    </i>
    <i t="avg" r="1">
      <x v="126"/>
    </i>
    <i t="default">
      <x v="2"/>
    </i>
    <i>
      <x v="3"/>
      <x v="44"/>
      <x v="2"/>
    </i>
    <i t="sum" r="1">
      <x v="44"/>
    </i>
    <i t="avg" r="1">
      <x v="44"/>
    </i>
    <i r="1">
      <x v="65"/>
      <x v="5"/>
      <x v="3"/>
      <x v="9"/>
    </i>
    <i t="default" r="3">
      <x v="3"/>
    </i>
    <i t="countA" r="2">
      <x v="5"/>
    </i>
    <i t="max" r="2">
      <x v="5"/>
    </i>
    <i t="count" r="2">
      <x v="5"/>
    </i>
    <i t="sum" r="1">
      <x v="65"/>
    </i>
    <i t="avg" r="1">
      <x v="65"/>
    </i>
    <i t="default">
      <x v="3"/>
    </i>
    <i>
      <x v="4"/>
      <x v="25"/>
      <x v="5"/>
      <x v="1"/>
    </i>
    <i t="countA" r="2">
      <x v="5"/>
    </i>
    <i t="max" r="2">
      <x v="5"/>
    </i>
    <i t="count" r="2">
      <x v="5"/>
    </i>
    <i t="sum" r="1">
      <x v="25"/>
    </i>
    <i t="avg" r="1">
      <x v="25"/>
    </i>
    <i r="1">
      <x v="41"/>
      <x v="4"/>
      <x v="2"/>
      <x v="5"/>
    </i>
    <i t="default" r="3">
      <x v="2"/>
    </i>
    <i t="countA" r="2">
      <x v="4"/>
    </i>
    <i t="max" r="2">
      <x v="4"/>
    </i>
    <i t="count" r="2">
      <x v="4"/>
    </i>
    <i t="sum" r="1">
      <x v="41"/>
    </i>
    <i t="avg" r="1">
      <x v="41"/>
    </i>
    <i r="1">
      <x v="63"/>
      <x v="5"/>
      <x v="3"/>
      <x v="7"/>
      <x v="163"/>
    </i>
    <i t="default" r="4">
      <x v="7"/>
    </i>
    <i t="default" r="3">
      <x v="3"/>
    </i>
    <i t="countA" r="2">
      <x v="5"/>
    </i>
    <i t="max" r="2">
      <x v="5"/>
    </i>
    <i t="count" r="2">
      <x v="5"/>
    </i>
    <i t="sum" r="1">
      <x v="63"/>
    </i>
    <i t="avg" r="1">
      <x v="63"/>
    </i>
    <i r="1">
      <x v="67"/>
      <x v="2"/>
    </i>
    <i t="sum" r="1">
      <x v="67"/>
    </i>
    <i t="avg" r="1">
      <x v="67"/>
    </i>
    <i r="1">
      <x v="74"/>
      <x v="2"/>
    </i>
    <i t="sum" r="1">
      <x v="74"/>
    </i>
    <i t="avg" r="1">
      <x v="74"/>
    </i>
    <i r="1">
      <x v="88"/>
      <x v="2"/>
    </i>
    <i t="sum" r="1">
      <x v="88"/>
    </i>
    <i t="avg" r="1">
      <x v="88"/>
    </i>
    <i r="1">
      <x v="140"/>
      <x v="3"/>
      <x v="2"/>
      <x v="6"/>
    </i>
    <i t="default" r="3">
      <x v="2"/>
    </i>
    <i t="countA" r="2">
      <x v="3"/>
    </i>
    <i t="max" r="2">
      <x v="3"/>
    </i>
    <i t="count" r="2">
      <x v="3"/>
    </i>
    <i t="sum" r="1">
      <x v="140"/>
    </i>
    <i t="avg" r="1">
      <x v="140"/>
    </i>
    <i r="1">
      <x v="157"/>
      <x v="1"/>
      <x v="4"/>
    </i>
    <i t="countA" r="2">
      <x v="1"/>
    </i>
    <i t="max" r="2">
      <x v="1"/>
    </i>
    <i t="count" r="2">
      <x v="1"/>
    </i>
    <i t="sum" r="1">
      <x v="157"/>
    </i>
    <i t="avg" r="1">
      <x v="157"/>
    </i>
    <i t="default">
      <x v="4"/>
    </i>
    <i>
      <x v="5"/>
      <x v="69"/>
      <x v="4"/>
      <x v="3"/>
      <x v="8"/>
      <x v="121"/>
    </i>
    <i t="default" r="4">
      <x v="8"/>
    </i>
    <i t="default" r="3">
      <x v="3"/>
    </i>
    <i t="countA" r="2">
      <x v="4"/>
    </i>
    <i t="max" r="2">
      <x v="4"/>
    </i>
    <i t="count" r="2">
      <x v="4"/>
    </i>
    <i t="sum" r="1">
      <x v="69"/>
    </i>
    <i t="avg" r="1">
      <x v="69"/>
    </i>
    <i r="1">
      <x v="73"/>
      <x v="4"/>
      <x v="4"/>
    </i>
    <i t="countA" r="2">
      <x v="4"/>
    </i>
    <i t="max" r="2">
      <x v="4"/>
    </i>
    <i t="count" r="2">
      <x v="4"/>
    </i>
    <i t="sum" r="1">
      <x v="73"/>
    </i>
    <i t="avg" r="1">
      <x v="73"/>
    </i>
    <i t="default">
      <x v="5"/>
    </i>
    <i>
      <x v="6"/>
      <x v="18"/>
      <x v="3"/>
      <x v="4"/>
    </i>
    <i t="countA" r="2">
      <x v="3"/>
    </i>
    <i t="max" r="2">
      <x v="3"/>
    </i>
    <i t="count" r="2">
      <x v="3"/>
    </i>
    <i t="sum" r="1">
      <x v="18"/>
    </i>
    <i t="avg" r="1">
      <x v="18"/>
    </i>
    <i r="1">
      <x v="145"/>
      <x v="2"/>
    </i>
    <i t="sum" r="1">
      <x v="145"/>
    </i>
    <i t="avg" r="1">
      <x v="145"/>
    </i>
    <i t="default">
      <x v="6"/>
    </i>
    <i>
      <x v="7"/>
      <x v="17"/>
      <x v="1"/>
      <x v="4"/>
    </i>
    <i t="countA" r="2">
      <x v="1"/>
    </i>
    <i t="max" r="2">
      <x v="1"/>
    </i>
    <i t="count" r="2">
      <x v="1"/>
    </i>
    <i t="sum" r="1">
      <x v="17"/>
    </i>
    <i t="avg" r="1">
      <x v="17"/>
    </i>
    <i r="1">
      <x v="20"/>
      <x v="5"/>
      <x v="1"/>
    </i>
    <i t="countA" r="2">
      <x v="5"/>
    </i>
    <i t="max" r="2">
      <x v="5"/>
    </i>
    <i t="count" r="2">
      <x v="5"/>
    </i>
    <i t="sum" r="1">
      <x v="20"/>
    </i>
    <i t="avg" r="1">
      <x v="20"/>
    </i>
    <i r="1">
      <x v="160"/>
      <x v="2"/>
    </i>
    <i t="sum" r="1">
      <x v="160"/>
    </i>
    <i t="avg" r="1">
      <x v="160"/>
    </i>
    <i t="default">
      <x v="7"/>
    </i>
    <i>
      <x v="8"/>
      <x v="50"/>
      <x v="1"/>
      <x v="2"/>
      <x v="6"/>
    </i>
    <i t="default" r="3">
      <x v="2"/>
    </i>
    <i t="countA" r="2">
      <x v="1"/>
    </i>
    <i t="max" r="2">
      <x v="1"/>
    </i>
    <i t="count" r="2">
      <x v="1"/>
    </i>
    <i t="sum" r="1">
      <x v="50"/>
    </i>
    <i t="avg" r="1">
      <x v="50"/>
    </i>
    <i r="1">
      <x v="96"/>
      <x v="5"/>
      <x v="2"/>
      <x v="5"/>
    </i>
    <i t="default" r="3">
      <x v="2"/>
    </i>
    <i t="countA" r="2">
      <x v="5"/>
    </i>
    <i t="max" r="2">
      <x v="5"/>
    </i>
    <i t="count" r="2">
      <x v="5"/>
    </i>
    <i t="sum" r="1">
      <x v="96"/>
    </i>
    <i t="avg" r="1">
      <x v="96"/>
    </i>
    <i r="1">
      <x v="127"/>
      <x v="1"/>
      <x v="4"/>
    </i>
    <i t="countA" r="2">
      <x v="1"/>
    </i>
    <i t="max" r="2">
      <x v="1"/>
    </i>
    <i t="count" r="2">
      <x v="1"/>
    </i>
    <i t="sum" r="1">
      <x v="127"/>
    </i>
    <i t="avg" r="1">
      <x v="127"/>
    </i>
    <i r="1">
      <x v="132"/>
      <x v="2"/>
    </i>
    <i t="sum" r="1">
      <x v="132"/>
    </i>
    <i t="avg" r="1">
      <x v="132"/>
    </i>
    <i t="default">
      <x v="8"/>
    </i>
    <i>
      <x v="9"/>
      <x v="3"/>
      <x v="4"/>
      <x v="1"/>
    </i>
    <i t="countA" r="2">
      <x v="4"/>
    </i>
    <i t="max" r="2">
      <x v="4"/>
    </i>
    <i t="count" r="2">
      <x v="4"/>
    </i>
    <i t="sum" r="1">
      <x v="3"/>
    </i>
    <i t="avg" r="1">
      <x v="3"/>
    </i>
    <i r="1">
      <x v="23"/>
      <x v="1"/>
      <x v="4"/>
    </i>
    <i t="countA" r="2">
      <x v="1"/>
    </i>
    <i t="max" r="2">
      <x v="1"/>
    </i>
    <i t="count" r="2">
      <x v="1"/>
    </i>
    <i t="sum" r="1">
      <x v="23"/>
    </i>
    <i t="avg" r="1">
      <x v="23"/>
    </i>
    <i r="1">
      <x v="96"/>
      <x v="5"/>
      <x v="3"/>
      <x v="7"/>
      <x v="165"/>
    </i>
    <i t="default" r="4">
      <x v="7"/>
    </i>
    <i t="default" r="3">
      <x v="3"/>
    </i>
    <i t="countA" r="2">
      <x v="5"/>
    </i>
    <i t="max" r="2">
      <x v="5"/>
    </i>
    <i t="count" r="2">
      <x v="5"/>
    </i>
    <i t="sum" r="1">
      <x v="96"/>
    </i>
    <i t="avg" r="1">
      <x v="96"/>
    </i>
    <i r="1">
      <x v="104"/>
      <x v="1"/>
      <x v="4"/>
    </i>
    <i t="countA" r="2">
      <x v="1"/>
    </i>
    <i t="max" r="2">
      <x v="1"/>
    </i>
    <i t="count" r="2">
      <x v="1"/>
    </i>
    <i t="sum" r="1">
      <x v="104"/>
    </i>
    <i t="avg" r="1">
      <x v="104"/>
    </i>
    <i t="default">
      <x v="9"/>
    </i>
    <i>
      <x v="10"/>
      <x v="20"/>
      <x v="5"/>
      <x v="2"/>
      <x v="4"/>
    </i>
    <i t="default" r="3">
      <x v="2"/>
    </i>
    <i t="countA" r="2">
      <x v="5"/>
    </i>
    <i t="max" r="2">
      <x v="5"/>
    </i>
    <i t="count" r="2">
      <x v="5"/>
    </i>
    <i t="sum" r="1">
      <x v="20"/>
    </i>
    <i t="avg" r="1">
      <x v="20"/>
    </i>
    <i r="1">
      <x v="58"/>
      <x v="4"/>
      <x v="3"/>
      <x v="9"/>
    </i>
    <i t="default" r="3">
      <x v="3"/>
    </i>
    <i t="countA" r="2">
      <x v="4"/>
    </i>
    <i t="max" r="2">
      <x v="4"/>
    </i>
    <i t="count" r="2">
      <x v="4"/>
    </i>
    <i t="sum" r="1">
      <x v="58"/>
    </i>
    <i t="avg" r="1">
      <x v="58"/>
    </i>
    <i r="1">
      <x v="102"/>
      <x v="2"/>
    </i>
    <i t="sum" r="1">
      <x v="102"/>
    </i>
    <i t="avg" r="1">
      <x v="102"/>
    </i>
    <i r="1">
      <x v="108"/>
      <x v="4"/>
      <x v="3"/>
      <x v="9"/>
    </i>
    <i t="default" r="3">
      <x v="3"/>
    </i>
    <i t="countA" r="2">
      <x v="4"/>
    </i>
    <i t="max" r="2">
      <x v="4"/>
    </i>
    <i t="count" r="2">
      <x v="4"/>
    </i>
    <i t="sum" r="1">
      <x v="108"/>
    </i>
    <i t="avg" r="1">
      <x v="108"/>
    </i>
    <i r="1">
      <x v="110"/>
      <x v="3"/>
      <x v="4"/>
    </i>
    <i t="countA" r="2">
      <x v="3"/>
    </i>
    <i t="max" r="2">
      <x v="3"/>
    </i>
    <i t="count" r="2">
      <x v="3"/>
    </i>
    <i t="sum" r="1">
      <x v="110"/>
    </i>
    <i t="avg" r="1">
      <x v="110"/>
    </i>
    <i r="1">
      <x v="154"/>
      <x v="5"/>
      <x v="1"/>
    </i>
    <i t="countA" r="2">
      <x v="5"/>
    </i>
    <i t="max" r="2">
      <x v="5"/>
    </i>
    <i t="count" r="2">
      <x v="5"/>
    </i>
    <i t="sum" r="1">
      <x v="154"/>
    </i>
    <i t="avg" r="1">
      <x v="154"/>
    </i>
    <i t="default">
      <x v="10"/>
    </i>
    <i>
      <x v="11"/>
      <x v="3"/>
      <x v="3"/>
      <x v="3"/>
      <x v="7"/>
      <x v="79"/>
    </i>
    <i t="default" r="4">
      <x v="7"/>
    </i>
    <i t="default" r="3">
      <x v="3"/>
    </i>
    <i t="countA" r="2">
      <x v="3"/>
    </i>
    <i t="max" r="2">
      <x v="3"/>
    </i>
    <i t="count" r="2">
      <x v="3"/>
    </i>
    <i t="sum" r="1">
      <x v="3"/>
    </i>
    <i t="avg" r="1">
      <x v="3"/>
    </i>
    <i r="1">
      <x v="10"/>
      <x v="1"/>
      <x v="2"/>
      <x v="5"/>
    </i>
    <i t="default" r="3">
      <x v="2"/>
    </i>
    <i t="countA" r="2">
      <x v="1"/>
    </i>
    <i t="max" r="2">
      <x v="1"/>
    </i>
    <i t="count" r="2">
      <x v="1"/>
    </i>
    <i t="sum" r="1">
      <x v="10"/>
    </i>
    <i t="avg" r="1">
      <x v="10"/>
    </i>
    <i r="1">
      <x v="12"/>
      <x v="3"/>
      <x v="3"/>
      <x v="9"/>
    </i>
    <i t="default" r="3">
      <x v="3"/>
    </i>
    <i t="countA" r="2">
      <x v="3"/>
    </i>
    <i t="max" r="2">
      <x v="3"/>
    </i>
    <i t="count" r="2">
      <x v="3"/>
    </i>
    <i t="sum" r="1">
      <x v="12"/>
    </i>
    <i t="avg" r="1">
      <x v="12"/>
    </i>
    <i r="1">
      <x v="43"/>
      <x v="5"/>
      <x v="4"/>
    </i>
    <i t="countA" r="2">
      <x v="5"/>
    </i>
    <i t="max" r="2">
      <x v="5"/>
    </i>
    <i t="count" r="2">
      <x v="5"/>
    </i>
    <i t="sum" r="1">
      <x v="43"/>
    </i>
    <i t="avg" r="1">
      <x v="43"/>
    </i>
    <i r="1">
      <x v="72"/>
      <x v="2"/>
    </i>
    <i t="sum" r="1">
      <x v="72"/>
    </i>
    <i t="avg" r="1">
      <x v="72"/>
    </i>
    <i r="1">
      <x v="88"/>
      <x v="3"/>
      <x v="2"/>
      <x v="5"/>
    </i>
    <i t="default" r="3">
      <x v="2"/>
    </i>
    <i t="countA" r="2">
      <x v="3"/>
    </i>
    <i t="max" r="2">
      <x v="3"/>
    </i>
    <i t="count" r="2">
      <x v="3"/>
    </i>
    <i t="sum" r="1">
      <x v="88"/>
    </i>
    <i t="avg" r="1">
      <x v="88"/>
    </i>
    <i r="1">
      <x v="134"/>
      <x v="4"/>
      <x v="3"/>
      <x v="7"/>
      <x v="117"/>
    </i>
    <i t="default" r="4">
      <x v="7"/>
    </i>
    <i t="default" r="3">
      <x v="3"/>
    </i>
    <i t="countA" r="2">
      <x v="4"/>
    </i>
    <i t="max" r="2">
      <x v="4"/>
    </i>
    <i t="count" r="2">
      <x v="4"/>
    </i>
    <i t="sum" r="1">
      <x v="134"/>
    </i>
    <i t="avg" r="1">
      <x v="134"/>
    </i>
    <i r="1">
      <x v="146"/>
      <x v="1"/>
      <x v="3"/>
      <x v="7"/>
      <x v="8"/>
    </i>
    <i t="default" r="4">
      <x v="7"/>
    </i>
    <i t="default" r="3">
      <x v="3"/>
    </i>
    <i t="countA" r="2">
      <x v="1"/>
    </i>
    <i t="max" r="2">
      <x v="1"/>
    </i>
    <i t="count" r="2">
      <x v="1"/>
    </i>
    <i t="sum" r="1">
      <x v="146"/>
    </i>
    <i t="avg" r="1">
      <x v="146"/>
    </i>
    <i t="default">
      <x v="11"/>
    </i>
    <i>
      <x v="12"/>
      <x v="1"/>
      <x v="1"/>
      <x v="3"/>
      <x v="9"/>
    </i>
    <i t="default" r="3">
      <x v="3"/>
    </i>
    <i t="countA" r="2">
      <x v="1"/>
    </i>
    <i t="max" r="2">
      <x v="1"/>
    </i>
    <i t="count" r="2">
      <x v="1"/>
    </i>
    <i t="sum" r="1">
      <x v="1"/>
    </i>
    <i t="avg" r="1">
      <x v="1"/>
    </i>
    <i r="1">
      <x v="35"/>
      <x v="2"/>
    </i>
    <i t="sum" r="1">
      <x v="35"/>
    </i>
    <i t="avg" r="1">
      <x v="35"/>
    </i>
    <i r="1">
      <x v="127"/>
      <x v="3"/>
      <x v="1"/>
    </i>
    <i t="countA" r="2">
      <x v="3"/>
    </i>
    <i t="max" r="2">
      <x v="3"/>
    </i>
    <i t="count" r="2">
      <x v="3"/>
    </i>
    <i t="sum" r="1">
      <x v="127"/>
    </i>
    <i t="avg" r="1">
      <x v="127"/>
    </i>
    <i r="1">
      <x v="148"/>
      <x v="4"/>
      <x v="1"/>
    </i>
    <i t="countA" r="2">
      <x v="4"/>
    </i>
    <i t="max" r="2">
      <x v="4"/>
    </i>
    <i t="count" r="2">
      <x v="4"/>
    </i>
    <i t="sum" r="1">
      <x v="148"/>
    </i>
    <i t="avg" r="1">
      <x v="148"/>
    </i>
    <i r="1">
      <x v="153"/>
      <x v="5"/>
      <x v="2"/>
      <x v="6"/>
    </i>
    <i t="default" r="3">
      <x v="2"/>
    </i>
    <i t="countA" r="2">
      <x v="5"/>
    </i>
    <i t="max" r="2">
      <x v="5"/>
    </i>
    <i t="count" r="2">
      <x v="5"/>
    </i>
    <i t="sum" r="1">
      <x v="153"/>
    </i>
    <i t="avg" r="1">
      <x v="153"/>
    </i>
    <i t="default">
      <x v="12"/>
    </i>
    <i>
      <x v="13"/>
      <x v="7"/>
      <x v="3"/>
      <x v="4"/>
    </i>
    <i t="countA" r="2">
      <x v="3"/>
    </i>
    <i t="max" r="2">
      <x v="3"/>
    </i>
    <i t="count" r="2">
      <x v="3"/>
    </i>
    <i t="sum" r="1">
      <x v="7"/>
    </i>
    <i t="avg" r="1">
      <x v="7"/>
    </i>
    <i r="1">
      <x v="15"/>
      <x v="3"/>
      <x v="1"/>
    </i>
    <i t="countA" r="2">
      <x v="3"/>
    </i>
    <i t="max" r="2">
      <x v="3"/>
    </i>
    <i t="count" r="2">
      <x v="3"/>
    </i>
    <i t="sum" r="1">
      <x v="15"/>
    </i>
    <i t="avg" r="1">
      <x v="15"/>
    </i>
    <i r="1">
      <x v="28"/>
      <x v="4"/>
      <x v="3"/>
      <x v="9"/>
    </i>
    <i t="default" r="3">
      <x v="3"/>
    </i>
    <i t="countA" r="2">
      <x v="4"/>
    </i>
    <i t="max" r="2">
      <x v="4"/>
    </i>
    <i t="count" r="2">
      <x v="4"/>
    </i>
    <i t="sum" r="1">
      <x v="28"/>
    </i>
    <i t="avg" r="1">
      <x v="28"/>
    </i>
    <i r="1">
      <x v="30"/>
      <x v="6"/>
    </i>
    <i t="sum" r="1">
      <x v="30"/>
    </i>
    <i t="avg" r="1">
      <x v="30"/>
    </i>
    <i r="1">
      <x v="122"/>
      <x v="4"/>
      <x v="1"/>
    </i>
    <i t="countA" r="2">
      <x v="4"/>
    </i>
    <i t="max" r="2">
      <x v="4"/>
    </i>
    <i t="count" r="2">
      <x v="4"/>
    </i>
    <i t="sum" r="1">
      <x v="122"/>
    </i>
    <i t="avg" r="1">
      <x v="122"/>
    </i>
    <i r="1">
      <x v="147"/>
      <x v="2"/>
    </i>
    <i t="sum" r="1">
      <x v="147"/>
    </i>
    <i t="avg" r="1">
      <x v="147"/>
    </i>
    <i t="default">
      <x v="13"/>
    </i>
    <i>
      <x v="14"/>
      <x v="26"/>
      <x v="4"/>
      <x v="3"/>
      <x v="8"/>
      <x v="121"/>
    </i>
    <i t="default" r="4">
      <x v="8"/>
    </i>
    <i t="default" r="3">
      <x v="3"/>
    </i>
    <i t="countA" r="2">
      <x v="4"/>
    </i>
    <i t="max" r="2">
      <x v="4"/>
    </i>
    <i t="count" r="2">
      <x v="4"/>
    </i>
    <i t="sum" r="1">
      <x v="26"/>
    </i>
    <i t="avg" r="1">
      <x v="26"/>
    </i>
    <i r="1">
      <x v="51"/>
      <x v="2"/>
    </i>
    <i t="sum" r="1">
      <x v="51"/>
    </i>
    <i t="avg" r="1">
      <x v="51"/>
    </i>
    <i r="1">
      <x v="86"/>
      <x v="6"/>
    </i>
    <i t="sum" r="1">
      <x v="86"/>
    </i>
    <i t="avg" r="1">
      <x v="86"/>
    </i>
    <i r="1">
      <x v="94"/>
      <x v="4"/>
      <x v="4"/>
    </i>
    <i t="countA" r="2">
      <x v="4"/>
    </i>
    <i t="max" r="2">
      <x v="4"/>
    </i>
    <i t="count" r="2">
      <x v="4"/>
    </i>
    <i t="sum" r="1">
      <x v="94"/>
    </i>
    <i t="avg" r="1">
      <x v="94"/>
    </i>
    <i r="1">
      <x v="95"/>
      <x v="3"/>
      <x v="3"/>
      <x v="8"/>
      <x v="84"/>
    </i>
    <i t="default" r="4">
      <x v="8"/>
    </i>
    <i t="default" r="3">
      <x v="3"/>
    </i>
    <i t="countA" r="2">
      <x v="3"/>
    </i>
    <i t="max" r="2">
      <x v="3"/>
    </i>
    <i t="count" r="2">
      <x v="3"/>
    </i>
    <i t="sum" r="1">
      <x v="95"/>
    </i>
    <i t="avg" r="1">
      <x v="95"/>
    </i>
    <i r="1">
      <x v="105"/>
      <x v="2"/>
    </i>
    <i t="sum" r="1">
      <x v="105"/>
    </i>
    <i t="avg" r="1">
      <x v="105"/>
    </i>
    <i r="1">
      <x v="128"/>
      <x v="4"/>
      <x v="4"/>
    </i>
    <i t="countA" r="2">
      <x v="4"/>
    </i>
    <i t="max" r="2">
      <x v="4"/>
    </i>
    <i t="count" r="2">
      <x v="4"/>
    </i>
    <i t="sum" r="1">
      <x v="128"/>
    </i>
    <i t="avg" r="1">
      <x v="128"/>
    </i>
    <i r="1">
      <x v="156"/>
      <x v="3"/>
      <x v="2"/>
      <x v="5"/>
    </i>
    <i t="default" r="3">
      <x v="2"/>
    </i>
    <i t="countA" r="2">
      <x v="3"/>
    </i>
    <i t="max" r="2">
      <x v="3"/>
    </i>
    <i t="count" r="2">
      <x v="3"/>
    </i>
    <i t="sum" r="1">
      <x v="156"/>
    </i>
    <i t="avg" r="1">
      <x v="156"/>
    </i>
    <i t="default">
      <x v="14"/>
    </i>
    <i>
      <x v="15"/>
      <x v="7"/>
      <x v="6"/>
    </i>
    <i t="sum" r="1">
      <x v="7"/>
    </i>
    <i t="avg" r="1">
      <x v="7"/>
    </i>
    <i t="default">
      <x v="15"/>
    </i>
    <i>
      <x v="16"/>
      <x v="8"/>
      <x v="1"/>
      <x v="3"/>
      <x v="9"/>
    </i>
    <i t="default" r="3">
      <x v="3"/>
    </i>
    <i t="countA" r="2">
      <x v="1"/>
    </i>
    <i t="max" r="2">
      <x v="1"/>
    </i>
    <i t="count" r="2">
      <x v="1"/>
    </i>
    <i t="sum" r="1">
      <x v="8"/>
    </i>
    <i t="avg" r="1">
      <x v="8"/>
    </i>
    <i r="1">
      <x v="16"/>
      <x v="4"/>
      <x v="2"/>
      <x v="4"/>
    </i>
    <i t="default" r="3">
      <x v="2"/>
    </i>
    <i t="countA" r="2">
      <x v="4"/>
    </i>
    <i t="max" r="2">
      <x v="4"/>
    </i>
    <i t="count" r="2">
      <x v="4"/>
    </i>
    <i t="sum" r="1">
      <x v="16"/>
    </i>
    <i t="avg" r="1">
      <x v="16"/>
    </i>
    <i r="1">
      <x v="27"/>
      <x v="5"/>
      <x v="4"/>
    </i>
    <i t="countA" r="2">
      <x v="5"/>
    </i>
    <i t="max" r="2">
      <x v="5"/>
    </i>
    <i t="count" r="2">
      <x v="5"/>
    </i>
    <i t="sum" r="1">
      <x v="27"/>
    </i>
    <i t="avg" r="1">
      <x v="27"/>
    </i>
    <i r="1">
      <x v="30"/>
      <x v="4"/>
      <x v="4"/>
    </i>
    <i t="countA" r="2">
      <x v="4"/>
    </i>
    <i t="max" r="2">
      <x v="4"/>
    </i>
    <i t="count" r="2">
      <x v="4"/>
    </i>
    <i t="sum" r="1">
      <x v="30"/>
    </i>
    <i t="avg" r="1">
      <x v="30"/>
    </i>
    <i r="1">
      <x v="37"/>
      <x v="2"/>
    </i>
    <i t="sum" r="1">
      <x v="37"/>
    </i>
    <i t="avg" r="1">
      <x v="37"/>
    </i>
    <i r="1">
      <x v="60"/>
      <x v="4"/>
      <x v="4"/>
    </i>
    <i t="countA" r="2">
      <x v="4"/>
    </i>
    <i t="max" r="2">
      <x v="4"/>
    </i>
    <i t="count" r="2">
      <x v="4"/>
    </i>
    <i t="sum" r="1">
      <x v="60"/>
    </i>
    <i t="avg" r="1">
      <x v="60"/>
    </i>
    <i r="1">
      <x v="143"/>
      <x v="3"/>
      <x v="3"/>
      <x v="8"/>
      <x v="85"/>
    </i>
    <i t="default" r="4">
      <x v="8"/>
    </i>
    <i t="default" r="3">
      <x v="3"/>
    </i>
    <i t="countA" r="2">
      <x v="3"/>
    </i>
    <i t="max" r="2">
      <x v="3"/>
    </i>
    <i t="count" r="2">
      <x v="3"/>
    </i>
    <i t="sum" r="1">
      <x v="143"/>
    </i>
    <i t="avg" r="1">
      <x v="143"/>
    </i>
    <i r="1">
      <x v="152"/>
      <x v="5"/>
      <x v="4"/>
    </i>
    <i t="countA" r="2">
      <x v="5"/>
    </i>
    <i t="max" r="2">
      <x v="5"/>
    </i>
    <i t="count" r="2">
      <x v="5"/>
    </i>
    <i t="sum" r="1">
      <x v="152"/>
    </i>
    <i t="avg" r="1">
      <x v="152"/>
    </i>
    <i t="default">
      <x v="16"/>
    </i>
    <i>
      <x v="17"/>
      <x v="71"/>
      <x v="2"/>
    </i>
    <i t="sum" r="1">
      <x v="71"/>
    </i>
    <i t="avg" r="1">
      <x v="71"/>
    </i>
    <i t="default">
      <x v="17"/>
    </i>
    <i>
      <x v="18"/>
      <x v="42"/>
      <x v="4"/>
      <x v="4"/>
    </i>
    <i t="countA" r="2">
      <x v="4"/>
    </i>
    <i t="max" r="2">
      <x v="4"/>
    </i>
    <i t="count" r="2">
      <x v="4"/>
    </i>
    <i t="sum" r="1">
      <x v="42"/>
    </i>
    <i t="avg" r="1">
      <x v="42"/>
    </i>
    <i r="1">
      <x v="78"/>
      <x v="2"/>
    </i>
    <i t="sum" r="1">
      <x v="78"/>
    </i>
    <i t="avg" r="1">
      <x v="78"/>
    </i>
    <i r="1">
      <x v="119"/>
      <x v="5"/>
      <x v="3"/>
      <x v="8"/>
      <x v="171"/>
    </i>
    <i t="default" r="4">
      <x v="8"/>
    </i>
    <i t="default" r="3">
      <x v="3"/>
    </i>
    <i t="countA" r="2">
      <x v="5"/>
    </i>
    <i t="max" r="2">
      <x v="5"/>
    </i>
    <i t="count" r="2">
      <x v="5"/>
    </i>
    <i t="sum" r="1">
      <x v="119"/>
    </i>
    <i t="avg" r="1">
      <x v="119"/>
    </i>
    <i r="1">
      <x v="161"/>
      <x v="5"/>
      <x v="3"/>
      <x v="8"/>
      <x v="170"/>
    </i>
    <i t="default" r="4">
      <x v="8"/>
    </i>
    <i t="default" r="3">
      <x v="3"/>
    </i>
    <i t="countA" r="2">
      <x v="5"/>
    </i>
    <i t="max" r="2">
      <x v="5"/>
    </i>
    <i t="count" r="2">
      <x v="5"/>
    </i>
    <i t="sum" r="1">
      <x v="161"/>
    </i>
    <i t="avg" r="1">
      <x v="161"/>
    </i>
    <i t="default">
      <x v="18"/>
    </i>
    <i>
      <x v="19"/>
      <x v="13"/>
      <x v="3"/>
      <x v="4"/>
    </i>
    <i t="countA" r="2">
      <x v="3"/>
    </i>
    <i t="max" r="2">
      <x v="3"/>
    </i>
    <i t="count" r="2">
      <x v="3"/>
    </i>
    <i t="sum" r="1">
      <x v="13"/>
    </i>
    <i t="avg" r="1">
      <x v="13"/>
    </i>
    <i r="1">
      <x v="47"/>
      <x v="4"/>
      <x v="4"/>
    </i>
    <i t="countA" r="2">
      <x v="4"/>
    </i>
    <i t="max" r="2">
      <x v="4"/>
    </i>
    <i t="count" r="2">
      <x v="4"/>
    </i>
    <i t="sum" r="1">
      <x v="47"/>
    </i>
    <i t="avg" r="1">
      <x v="47"/>
    </i>
    <i r="1">
      <x v="52"/>
      <x v="3"/>
      <x v="3"/>
      <x v="7"/>
      <x v="80"/>
    </i>
    <i t="default" r="4">
      <x v="7"/>
    </i>
    <i t="default" r="3">
      <x v="3"/>
    </i>
    <i t="countA" r="2">
      <x v="3"/>
    </i>
    <i t="max" r="2">
      <x v="3"/>
    </i>
    <i t="count" r="2">
      <x v="3"/>
    </i>
    <i t="sum" r="1">
      <x v="52"/>
    </i>
    <i t="avg" r="1">
      <x v="52"/>
    </i>
    <i r="1">
      <x v="84"/>
      <x v="4"/>
      <x v="3"/>
      <x v="8"/>
      <x v="119"/>
    </i>
    <i t="default" r="4">
      <x v="8"/>
    </i>
    <i t="default" r="3">
      <x v="3"/>
    </i>
    <i t="countA" r="2">
      <x v="4"/>
    </i>
    <i t="max" r="2">
      <x v="4"/>
    </i>
    <i t="count" r="2">
      <x v="4"/>
    </i>
    <i t="sum" r="1">
      <x v="84"/>
    </i>
    <i t="avg" r="1">
      <x v="84"/>
    </i>
    <i r="1">
      <x v="113"/>
      <x v="5"/>
      <x v="3"/>
      <x v="7"/>
      <x v="168"/>
    </i>
    <i t="default" r="4">
      <x v="7"/>
    </i>
    <i t="default" r="3">
      <x v="3"/>
    </i>
    <i t="countA" r="2">
      <x v="5"/>
    </i>
    <i t="max" r="2">
      <x v="5"/>
    </i>
    <i t="count" r="2">
      <x v="5"/>
    </i>
    <i t="sum" r="1">
      <x v="113"/>
    </i>
    <i t="avg" r="1">
      <x v="113"/>
    </i>
    <i t="default">
      <x v="19"/>
    </i>
    <i>
      <x v="20"/>
      <x v="5"/>
      <x v="4"/>
      <x v="4"/>
    </i>
    <i t="countA" r="2">
      <x v="4"/>
    </i>
    <i t="max" r="2">
      <x v="4"/>
    </i>
    <i t="count" r="2">
      <x v="4"/>
    </i>
    <i t="sum" r="1">
      <x v="5"/>
    </i>
    <i t="avg" r="1">
      <x v="5"/>
    </i>
    <i r="1">
      <x v="82"/>
      <x v="1"/>
      <x v="2"/>
      <x v="4"/>
    </i>
    <i t="default" r="3">
      <x v="2"/>
    </i>
    <i t="countA" r="2">
      <x v="1"/>
    </i>
    <i t="max" r="2">
      <x v="1"/>
    </i>
    <i t="count" r="2">
      <x v="1"/>
    </i>
    <i t="sum" r="1">
      <x v="82"/>
    </i>
    <i t="avg" r="1">
      <x v="82"/>
    </i>
    <i r="1">
      <x v="114"/>
      <x v="5"/>
      <x v="2"/>
      <x v="6"/>
    </i>
    <i t="default" r="3">
      <x v="2"/>
    </i>
    <i t="countA" r="2">
      <x v="5"/>
    </i>
    <i t="max" r="2">
      <x v="5"/>
    </i>
    <i t="count" r="2">
      <x v="5"/>
    </i>
    <i t="sum" r="1">
      <x v="114"/>
    </i>
    <i t="avg" r="1">
      <x v="114"/>
    </i>
    <i r="1">
      <x v="131"/>
      <x v="4"/>
      <x v="3"/>
      <x v="9"/>
    </i>
    <i t="default" r="3">
      <x v="3"/>
    </i>
    <i t="countA" r="2">
      <x v="4"/>
    </i>
    <i t="max" r="2">
      <x v="4"/>
    </i>
    <i t="count" r="2">
      <x v="4"/>
    </i>
    <i t="sum" r="1">
      <x v="131"/>
    </i>
    <i t="avg" r="1">
      <x v="131"/>
    </i>
    <i r="1">
      <x v="133"/>
      <x v="6"/>
    </i>
    <i t="sum" r="1">
      <x v="133"/>
    </i>
    <i t="avg" r="1">
      <x v="133"/>
    </i>
    <i t="default">
      <x v="20"/>
    </i>
    <i>
      <x v="21"/>
      <x v="32"/>
      <x v="3"/>
      <x v="1"/>
    </i>
    <i t="countA" r="2">
      <x v="3"/>
    </i>
    <i t="max" r="2">
      <x v="3"/>
    </i>
    <i t="count" r="2">
      <x v="3"/>
    </i>
    <i t="sum" r="1">
      <x v="32"/>
    </i>
    <i t="avg" r="1">
      <x v="32"/>
    </i>
    <i r="1">
      <x v="33"/>
      <x v="5"/>
      <x v="2"/>
      <x v="5"/>
    </i>
    <i t="default" r="3">
      <x v="2"/>
    </i>
    <i t="countA" r="2">
      <x v="5"/>
    </i>
    <i t="max" r="2">
      <x v="5"/>
    </i>
    <i t="count" r="2">
      <x v="5"/>
    </i>
    <i t="sum" r="1">
      <x v="33"/>
    </i>
    <i t="avg" r="1">
      <x v="33"/>
    </i>
    <i r="1">
      <x v="40"/>
      <x v="3"/>
      <x v="1"/>
    </i>
    <i t="countA" r="2">
      <x v="3"/>
    </i>
    <i t="max" r="2">
      <x v="3"/>
    </i>
    <i t="count" r="2">
      <x v="3"/>
    </i>
    <i t="sum" r="1">
      <x v="40"/>
    </i>
    <i t="avg" r="1">
      <x v="40"/>
    </i>
    <i r="1">
      <x v="75"/>
      <x v="5"/>
      <x v="1"/>
    </i>
    <i t="countA" r="2">
      <x v="5"/>
    </i>
    <i t="max" r="2">
      <x v="5"/>
    </i>
    <i t="count" r="2">
      <x v="5"/>
    </i>
    <i t="sum" r="1">
      <x v="75"/>
    </i>
    <i t="avg" r="1">
      <x v="75"/>
    </i>
    <i r="1">
      <x v="77"/>
      <x v="4"/>
      <x v="2"/>
      <x v="6"/>
    </i>
    <i t="default" r="3">
      <x v="2"/>
    </i>
    <i t="countA" r="2">
      <x v="4"/>
    </i>
    <i t="max" r="2">
      <x v="4"/>
    </i>
    <i t="count" r="2">
      <x v="4"/>
    </i>
    <i t="sum" r="1">
      <x v="77"/>
    </i>
    <i t="avg" r="1">
      <x v="77"/>
    </i>
    <i r="1">
      <x v="109"/>
      <x v="5"/>
      <x v="2"/>
      <x v="6"/>
    </i>
    <i t="default" r="3">
      <x v="2"/>
    </i>
    <i t="countA" r="2">
      <x v="5"/>
    </i>
    <i t="max" r="2">
      <x v="5"/>
    </i>
    <i t="count" r="2">
      <x v="5"/>
    </i>
    <i t="sum" r="1">
      <x v="109"/>
    </i>
    <i t="avg" r="1">
      <x v="109"/>
    </i>
    <i r="1">
      <x v="116"/>
      <x v="1"/>
      <x v="2"/>
      <x v="6"/>
    </i>
    <i t="default" r="3">
      <x v="2"/>
    </i>
    <i t="countA" r="2">
      <x v="1"/>
    </i>
    <i t="max" r="2">
      <x v="1"/>
    </i>
    <i t="count" r="2">
      <x v="1"/>
    </i>
    <i t="sum" r="1">
      <x v="116"/>
    </i>
    <i t="avg" r="1">
      <x v="116"/>
    </i>
    <i r="1">
      <x v="149"/>
      <x v="5"/>
      <x v="1"/>
    </i>
    <i t="countA" r="2">
      <x v="5"/>
    </i>
    <i t="max" r="2">
      <x v="5"/>
    </i>
    <i t="count" r="2">
      <x v="5"/>
    </i>
    <i t="sum" r="1">
      <x v="149"/>
    </i>
    <i t="avg" r="1">
      <x v="149"/>
    </i>
    <i r="1">
      <x v="150"/>
      <x v="5"/>
      <x v="2"/>
      <x v="6"/>
    </i>
    <i t="default" r="3">
      <x v="2"/>
    </i>
    <i t="countA" r="2">
      <x v="5"/>
    </i>
    <i t="max" r="2">
      <x v="5"/>
    </i>
    <i t="count" r="2">
      <x v="5"/>
    </i>
    <i t="sum" r="1">
      <x v="150"/>
    </i>
    <i t="avg" r="1">
      <x v="150"/>
    </i>
    <i t="default">
      <x v="21"/>
    </i>
    <i>
      <x v="22"/>
      <x v="46"/>
      <x v="1"/>
      <x v="2"/>
      <x v="5"/>
    </i>
    <i t="default" r="3">
      <x v="2"/>
    </i>
    <i t="countA" r="2">
      <x v="1"/>
    </i>
    <i t="max" r="2">
      <x v="1"/>
    </i>
    <i t="count" r="2">
      <x v="1"/>
    </i>
    <i t="sum" r="1">
      <x v="46"/>
    </i>
    <i t="avg" r="1">
      <x v="46"/>
    </i>
    <i r="1">
      <x v="48"/>
      <x v="4"/>
      <x v="1"/>
    </i>
    <i t="countA" r="2">
      <x v="4"/>
    </i>
    <i t="max" r="2">
      <x v="4"/>
    </i>
    <i t="count" r="2">
      <x v="4"/>
    </i>
    <i t="sum" r="1">
      <x v="48"/>
    </i>
    <i t="avg" r="1">
      <x v="48"/>
    </i>
    <i r="1">
      <x v="70"/>
      <x v="4"/>
      <x v="3"/>
      <x v="8"/>
      <x v="120"/>
    </i>
    <i t="default" r="4">
      <x v="8"/>
    </i>
    <i t="default" r="3">
      <x v="3"/>
    </i>
    <i t="countA" r="2">
      <x v="4"/>
    </i>
    <i t="max" r="2">
      <x v="4"/>
    </i>
    <i t="count" r="2">
      <x v="4"/>
    </i>
    <i t="sum" r="1">
      <x v="70"/>
    </i>
    <i t="avg" r="1">
      <x v="70"/>
    </i>
    <i r="1">
      <x v="86"/>
      <x v="5"/>
      <x v="1"/>
    </i>
    <i t="countA" r="2">
      <x v="5"/>
    </i>
    <i t="max" r="2">
      <x v="5"/>
    </i>
    <i t="count" r="2">
      <x v="5"/>
    </i>
    <i t="sum" r="1">
      <x v="86"/>
    </i>
    <i t="avg" r="1">
      <x v="86"/>
    </i>
    <i r="1">
      <x v="95"/>
      <x v="5"/>
      <x v="3"/>
      <x v="8"/>
      <x v="169"/>
    </i>
    <i t="default" r="4">
      <x v="8"/>
    </i>
    <i t="default" r="3">
      <x v="3"/>
    </i>
    <i t="countA" r="2">
      <x v="5"/>
    </i>
    <i t="max" r="2">
      <x v="5"/>
    </i>
    <i t="count" r="2">
      <x v="5"/>
    </i>
    <i t="sum" r="1">
      <x v="95"/>
    </i>
    <i t="avg" r="1">
      <x v="95"/>
    </i>
    <i r="1">
      <x v="103"/>
      <x v="1"/>
      <x v="4"/>
    </i>
    <i t="countA" r="2">
      <x v="1"/>
    </i>
    <i t="max" r="2">
      <x v="1"/>
    </i>
    <i t="count" r="2">
      <x v="1"/>
    </i>
    <i t="sum" r="1">
      <x v="103"/>
    </i>
    <i t="avg" r="1">
      <x v="103"/>
    </i>
    <i r="1">
      <x v="107"/>
      <x v="2"/>
    </i>
    <i t="sum" r="1">
      <x v="107"/>
    </i>
    <i t="avg" r="1">
      <x v="107"/>
    </i>
    <i r="1">
      <x v="110"/>
      <x v="2"/>
    </i>
    <i t="sum" r="1">
      <x v="110"/>
    </i>
    <i t="avg" r="1">
      <x v="110"/>
    </i>
    <i r="1">
      <x v="121"/>
      <x v="3"/>
      <x v="2"/>
      <x v="6"/>
    </i>
    <i t="default" r="3">
      <x v="2"/>
    </i>
    <i t="countA" r="2">
      <x v="3"/>
    </i>
    <i t="max" r="2">
      <x v="3"/>
    </i>
    <i t="count" r="2">
      <x v="3"/>
    </i>
    <i t="sum" r="1">
      <x v="121"/>
    </i>
    <i t="avg" r="1">
      <x v="121"/>
    </i>
    <i r="1">
      <x v="138"/>
      <x v="5"/>
      <x v="3"/>
      <x v="7"/>
      <x v="161"/>
    </i>
    <i t="default" r="4">
      <x v="7"/>
    </i>
    <i t="default" r="3">
      <x v="3"/>
    </i>
    <i t="countA" r="2">
      <x v="5"/>
    </i>
    <i t="max" r="2">
      <x v="5"/>
    </i>
    <i t="count" r="2">
      <x v="5"/>
    </i>
    <i t="sum" r="1">
      <x v="138"/>
    </i>
    <i t="avg" r="1">
      <x v="138"/>
    </i>
    <i t="default">
      <x v="22"/>
    </i>
    <i>
      <x v="23"/>
      <x v="54"/>
      <x v="3"/>
      <x v="2"/>
      <x v="6"/>
    </i>
    <i t="default" r="3">
      <x v="2"/>
    </i>
    <i t="countA" r="2">
      <x v="3"/>
    </i>
    <i t="max" r="2">
      <x v="3"/>
    </i>
    <i t="count" r="2">
      <x v="3"/>
    </i>
    <i t="sum" r="1">
      <x v="54"/>
    </i>
    <i t="avg" r="1">
      <x v="54"/>
    </i>
    <i r="1">
      <x v="62"/>
      <x v="3"/>
      <x v="4"/>
    </i>
    <i t="countA" r="2">
      <x v="3"/>
    </i>
    <i t="max" r="2">
      <x v="3"/>
    </i>
    <i t="count" r="2">
      <x v="3"/>
    </i>
    <i t="sum" r="1">
      <x v="62"/>
    </i>
    <i t="avg" r="1">
      <x v="62"/>
    </i>
    <i r="1">
      <x v="93"/>
      <x v="5"/>
      <x v="3"/>
      <x v="7"/>
      <x v="166"/>
    </i>
    <i t="default" r="4">
      <x v="7"/>
    </i>
    <i t="default" r="3">
      <x v="3"/>
    </i>
    <i t="countA" r="2">
      <x v="5"/>
    </i>
    <i t="max" r="2">
      <x v="5"/>
    </i>
    <i t="count" r="2">
      <x v="5"/>
    </i>
    <i t="sum" r="1">
      <x v="93"/>
    </i>
    <i t="avg" r="1">
      <x v="93"/>
    </i>
    <i r="1">
      <x v="100"/>
      <x v="3"/>
      <x v="3"/>
      <x v="9"/>
    </i>
    <i t="default" r="3">
      <x v="3"/>
    </i>
    <i t="countA" r="2">
      <x v="3"/>
    </i>
    <i t="max" r="2">
      <x v="3"/>
    </i>
    <i t="count" r="2">
      <x v="3"/>
    </i>
    <i t="sum" r="1">
      <x v="100"/>
    </i>
    <i t="avg" r="1">
      <x v="100"/>
    </i>
    <i r="1">
      <x v="120"/>
      <x v="2"/>
    </i>
    <i t="sum" r="1">
      <x v="120"/>
    </i>
    <i t="avg" r="1">
      <x v="120"/>
    </i>
    <i r="1">
      <x v="133"/>
      <x v="2"/>
    </i>
    <i t="sum" r="1">
      <x v="133"/>
    </i>
    <i t="avg" r="1">
      <x v="133"/>
    </i>
    <i r="1">
      <x v="155"/>
      <x v="5"/>
      <x v="3"/>
      <x v="7"/>
      <x v="164"/>
    </i>
    <i t="default" r="4">
      <x v="7"/>
    </i>
    <i t="default" r="3">
      <x v="3"/>
    </i>
    <i t="countA" r="2">
      <x v="5"/>
    </i>
    <i t="max" r="2">
      <x v="5"/>
    </i>
    <i t="count" r="2">
      <x v="5"/>
    </i>
    <i t="sum" r="1">
      <x v="155"/>
    </i>
    <i t="avg" r="1">
      <x v="155"/>
    </i>
    <i t="default">
      <x v="23"/>
    </i>
    <i>
      <x v="24"/>
      <x v="31"/>
      <x v="4"/>
      <x v="2"/>
      <x v="5"/>
    </i>
    <i t="default" r="3">
      <x v="2"/>
    </i>
    <i t="countA" r="2">
      <x v="4"/>
    </i>
    <i t="max" r="2">
      <x v="4"/>
    </i>
    <i t="count" r="2">
      <x v="4"/>
    </i>
    <i t="sum" r="1">
      <x v="31"/>
    </i>
    <i t="avg" r="1">
      <x v="31"/>
    </i>
    <i r="1">
      <x v="45"/>
      <x v="5"/>
      <x v="1"/>
    </i>
    <i t="countA" r="2">
      <x v="5"/>
    </i>
    <i t="max" r="2">
      <x v="5"/>
    </i>
    <i t="count" r="2">
      <x v="5"/>
    </i>
    <i t="sum" r="1">
      <x v="45"/>
    </i>
    <i t="avg" r="1">
      <x v="45"/>
    </i>
    <i r="1">
      <x v="57"/>
      <x v="4"/>
      <x v="4"/>
    </i>
    <i t="countA" r="2">
      <x v="4"/>
    </i>
    <i t="max" r="2">
      <x v="4"/>
    </i>
    <i t="count" r="2">
      <x v="4"/>
    </i>
    <i t="sum" r="1">
      <x v="57"/>
    </i>
    <i t="avg" r="1">
      <x v="57"/>
    </i>
    <i r="1">
      <x v="81"/>
      <x v="2"/>
    </i>
    <i t="sum" r="1">
      <x v="81"/>
    </i>
    <i t="avg" r="1">
      <x v="81"/>
    </i>
    <i r="1">
      <x v="95"/>
      <x v="3"/>
      <x v="4"/>
    </i>
    <i t="countA" r="2">
      <x v="3"/>
    </i>
    <i t="max" r="2">
      <x v="3"/>
    </i>
    <i t="count" r="2">
      <x v="3"/>
    </i>
    <i t="sum" r="1">
      <x v="95"/>
    </i>
    <i t="avg" r="1">
      <x v="95"/>
    </i>
    <i r="1">
      <x v="121"/>
      <x v="3"/>
      <x v="3"/>
      <x v="7"/>
      <x v="78"/>
    </i>
    <i t="default" r="4">
      <x v="7"/>
    </i>
    <i t="default" r="3">
      <x v="3"/>
    </i>
    <i t="countA" r="2">
      <x v="3"/>
    </i>
    <i t="max" r="2">
      <x v="3"/>
    </i>
    <i t="count" r="2">
      <x v="3"/>
    </i>
    <i t="sum" r="1">
      <x v="121"/>
    </i>
    <i t="avg" r="1">
      <x v="121"/>
    </i>
    <i r="1">
      <x v="123"/>
      <x v="5"/>
      <x v="2"/>
      <x v="4"/>
    </i>
    <i t="default" r="3">
      <x v="2"/>
    </i>
    <i t="countA" r="2">
      <x v="5"/>
    </i>
    <i t="max" r="2">
      <x v="5"/>
    </i>
    <i t="count" r="2">
      <x v="5"/>
    </i>
    <i t="sum" r="1">
      <x v="123"/>
    </i>
    <i t="avg" r="1">
      <x v="123"/>
    </i>
    <i r="1">
      <x v="127"/>
      <x v="3"/>
      <x v="3"/>
      <x v="7"/>
      <x v="81"/>
    </i>
    <i t="default" r="4">
      <x v="7"/>
    </i>
    <i t="default" r="3">
      <x v="3"/>
    </i>
    <i t="countA" r="2">
      <x v="3"/>
    </i>
    <i t="max" r="2">
      <x v="3"/>
    </i>
    <i t="count" r="2">
      <x v="3"/>
    </i>
    <i t="sum" r="1">
      <x v="127"/>
    </i>
    <i t="avg" r="1">
      <x v="127"/>
    </i>
    <i r="1">
      <x v="140"/>
      <x v="5"/>
      <x v="4"/>
    </i>
    <i t="countA" r="2">
      <x v="5"/>
    </i>
    <i t="max" r="2">
      <x v="5"/>
    </i>
    <i t="count" r="2">
      <x v="5"/>
    </i>
    <i t="sum" r="1">
      <x v="140"/>
    </i>
    <i t="avg" r="1">
      <x v="140"/>
    </i>
    <i r="1">
      <x v="159"/>
      <x v="1"/>
      <x v="3"/>
      <x v="9"/>
    </i>
    <i t="default" r="3">
      <x v="3"/>
    </i>
    <i t="countA" r="2">
      <x v="1"/>
    </i>
    <i t="max" r="2">
      <x v="1"/>
    </i>
    <i t="count" r="2">
      <x v="1"/>
    </i>
    <i t="sum" r="1">
      <x v="159"/>
    </i>
    <i t="avg" r="1">
      <x v="159"/>
    </i>
    <i t="default">
      <x v="24"/>
    </i>
    <i>
      <x v="25"/>
      <x v="14"/>
      <x v="3"/>
      <x v="1"/>
    </i>
    <i t="countA" r="2">
      <x v="3"/>
    </i>
    <i t="max" r="2">
      <x v="3"/>
    </i>
    <i t="count" r="2">
      <x v="3"/>
    </i>
    <i t="sum" r="1">
      <x v="14"/>
    </i>
    <i t="avg" r="1">
      <x v="14"/>
    </i>
    <i r="1">
      <x v="19"/>
      <x v="5"/>
      <x v="2"/>
      <x v="6"/>
    </i>
    <i t="default" r="3">
      <x v="2"/>
    </i>
    <i t="countA" r="2">
      <x v="5"/>
    </i>
    <i t="max" r="2">
      <x v="5"/>
    </i>
    <i t="count" r="2">
      <x v="5"/>
    </i>
    <i t="sum" r="1">
      <x v="19"/>
    </i>
    <i t="avg" r="1">
      <x v="19"/>
    </i>
    <i r="1">
      <x v="22"/>
      <x v="2"/>
    </i>
    <i t="sum" r="1">
      <x v="22"/>
    </i>
    <i t="avg" r="1">
      <x v="22"/>
    </i>
    <i r="1">
      <x v="39"/>
      <x v="3"/>
      <x v="1"/>
    </i>
    <i t="countA" r="2">
      <x v="3"/>
    </i>
    <i t="max" r="2">
      <x v="3"/>
    </i>
    <i t="count" r="2">
      <x v="3"/>
    </i>
    <i t="sum" r="1">
      <x v="39"/>
    </i>
    <i t="avg" r="1">
      <x v="39"/>
    </i>
    <i r="1">
      <x v="59"/>
      <x v="5"/>
      <x v="3"/>
      <x v="8"/>
      <x v="169"/>
    </i>
    <i t="default" r="4">
      <x v="8"/>
    </i>
    <i t="default" r="3">
      <x v="3"/>
    </i>
    <i t="countA" r="2">
      <x v="5"/>
    </i>
    <i t="max" r="2">
      <x v="5"/>
    </i>
    <i t="count" r="2">
      <x v="5"/>
    </i>
    <i t="sum" r="1">
      <x v="59"/>
    </i>
    <i t="avg" r="1">
      <x v="59"/>
    </i>
    <i r="1">
      <x v="99"/>
      <x v="2"/>
    </i>
    <i t="sum" r="1">
      <x v="99"/>
    </i>
    <i t="avg" r="1">
      <x v="99"/>
    </i>
    <i r="1">
      <x v="108"/>
      <x v="3"/>
      <x v="4"/>
    </i>
    <i t="countA" r="2">
      <x v="3"/>
    </i>
    <i t="max" r="2">
      <x v="3"/>
    </i>
    <i t="count" r="2">
      <x v="3"/>
    </i>
    <i t="sum" r="1">
      <x v="108"/>
    </i>
    <i t="avg" r="1">
      <x v="108"/>
    </i>
    <i r="1">
      <x v="149"/>
      <x v="4"/>
      <x v="3"/>
      <x v="9"/>
    </i>
    <i t="default" r="3">
      <x v="3"/>
    </i>
    <i t="countA" r="2">
      <x v="4"/>
    </i>
    <i t="max" r="2">
      <x v="4"/>
    </i>
    <i t="count" r="2">
      <x v="4"/>
    </i>
    <i t="sum" r="1">
      <x v="149"/>
    </i>
    <i t="avg" r="1">
      <x v="149"/>
    </i>
    <i t="default">
      <x v="25"/>
    </i>
    <i>
      <x v="26"/>
      <x v="19"/>
      <x v="2"/>
    </i>
    <i t="sum" r="1">
      <x v="19"/>
    </i>
    <i t="avg" r="1">
      <x v="19"/>
    </i>
    <i r="1">
      <x v="66"/>
      <x v="3"/>
      <x v="1"/>
    </i>
    <i t="countA" r="2">
      <x v="3"/>
    </i>
    <i t="max" r="2">
      <x v="3"/>
    </i>
    <i t="count" r="2">
      <x v="3"/>
    </i>
    <i t="sum" r="1">
      <x v="66"/>
    </i>
    <i t="avg" r="1">
      <x v="66"/>
    </i>
    <i r="1">
      <x v="76"/>
      <x v="3"/>
      <x v="4"/>
    </i>
    <i t="countA" r="2">
      <x v="3"/>
    </i>
    <i t="max" r="2">
      <x v="3"/>
    </i>
    <i t="count" r="2">
      <x v="3"/>
    </i>
    <i t="sum" r="1">
      <x v="76"/>
    </i>
    <i t="avg" r="1">
      <x v="76"/>
    </i>
    <i r="1">
      <x v="124"/>
      <x v="4"/>
      <x v="2"/>
      <x v="4"/>
    </i>
    <i t="default" r="3">
      <x v="2"/>
    </i>
    <i t="countA" r="2">
      <x v="4"/>
    </i>
    <i t="max" r="2">
      <x v="4"/>
    </i>
    <i t="count" r="2">
      <x v="4"/>
    </i>
    <i t="sum" r="1">
      <x v="124"/>
    </i>
    <i t="avg" r="1">
      <x v="124"/>
    </i>
    <i r="1">
      <x v="162"/>
      <x v="3"/>
      <x v="3"/>
      <x v="8"/>
      <x v="83"/>
    </i>
    <i t="default" r="4">
      <x v="8"/>
    </i>
    <i t="default" r="3">
      <x v="3"/>
    </i>
    <i t="countA" r="2">
      <x v="3"/>
    </i>
    <i t="max" r="2">
      <x v="3"/>
    </i>
    <i t="count" r="2">
      <x v="3"/>
    </i>
    <i t="sum" r="1">
      <x v="162"/>
    </i>
    <i t="avg" r="1">
      <x v="162"/>
    </i>
    <i t="default">
      <x v="26"/>
    </i>
    <i>
      <x v="27"/>
      <x v="6"/>
      <x v="3"/>
      <x v="4"/>
    </i>
    <i t="countA" r="2">
      <x v="3"/>
    </i>
    <i t="max" r="2">
      <x v="3"/>
    </i>
    <i t="count" r="2">
      <x v="3"/>
    </i>
    <i t="sum" r="1">
      <x v="6"/>
    </i>
    <i t="avg" r="1">
      <x v="6"/>
    </i>
    <i r="1">
      <x v="9"/>
      <x v="2"/>
    </i>
    <i t="sum" r="1">
      <x v="9"/>
    </i>
    <i t="avg" r="1">
      <x v="9"/>
    </i>
    <i r="1">
      <x v="125"/>
      <x v="1"/>
      <x v="2"/>
      <x v="6"/>
    </i>
    <i t="default" r="3">
      <x v="2"/>
    </i>
    <i t="countA" r="2">
      <x v="1"/>
    </i>
    <i t="max" r="2">
      <x v="1"/>
    </i>
    <i t="count" r="2">
      <x v="1"/>
    </i>
    <i t="sum" r="1">
      <x v="125"/>
    </i>
    <i t="avg" r="1">
      <x v="125"/>
    </i>
    <i r="1">
      <x v="143"/>
      <x v="5"/>
      <x v="2"/>
      <x v="5"/>
    </i>
    <i t="default" r="3">
      <x v="2"/>
    </i>
    <i t="countA" r="2">
      <x v="5"/>
    </i>
    <i t="max" r="2">
      <x v="5"/>
    </i>
    <i t="count" r="2">
      <x v="5"/>
    </i>
    <i t="sum" r="1">
      <x v="143"/>
    </i>
    <i t="avg" r="1">
      <x v="143"/>
    </i>
    <i r="1">
      <x v="144"/>
      <x v="4"/>
      <x v="4"/>
    </i>
    <i t="countA" r="2">
      <x v="4"/>
    </i>
    <i t="max" r="2">
      <x v="4"/>
    </i>
    <i t="count" r="2">
      <x v="4"/>
    </i>
    <i t="sum" r="1">
      <x v="144"/>
    </i>
    <i t="avg" r="1">
      <x v="144"/>
    </i>
    <i r="1">
      <x v="146"/>
      <x v="2"/>
    </i>
    <i t="sum" r="1">
      <x v="146"/>
    </i>
    <i t="avg" r="1">
      <x v="146"/>
    </i>
    <i t="default">
      <x v="27"/>
    </i>
    <i>
      <x v="28"/>
      <x v="64"/>
      <x v="2"/>
    </i>
    <i t="sum" r="1">
      <x v="64"/>
    </i>
    <i t="avg" r="1">
      <x v="64"/>
    </i>
    <i r="1">
      <x v="89"/>
      <x v="5"/>
      <x v="2"/>
      <x v="4"/>
    </i>
    <i t="default" r="3">
      <x v="2"/>
    </i>
    <i t="countA" r="2">
      <x v="5"/>
    </i>
    <i t="max" r="2">
      <x v="5"/>
    </i>
    <i t="count" r="2">
      <x v="5"/>
    </i>
    <i t="sum" r="1">
      <x v="89"/>
    </i>
    <i t="avg" r="1">
      <x v="89"/>
    </i>
    <i r="1">
      <x v="97"/>
      <x v="4"/>
      <x v="4"/>
    </i>
    <i t="countA" r="2">
      <x v="4"/>
    </i>
    <i t="max" r="2">
      <x v="4"/>
    </i>
    <i t="count" r="2">
      <x v="4"/>
    </i>
    <i t="sum" r="1">
      <x v="97"/>
    </i>
    <i t="avg" r="1">
      <x v="97"/>
    </i>
    <i r="1">
      <x v="98"/>
      <x v="4"/>
      <x v="1"/>
    </i>
    <i t="countA" r="2">
      <x v="4"/>
    </i>
    <i t="max" r="2">
      <x v="4"/>
    </i>
    <i t="count" r="2">
      <x v="4"/>
    </i>
    <i t="sum" r="1">
      <x v="98"/>
    </i>
    <i t="avg" r="1">
      <x v="98"/>
    </i>
    <i r="1">
      <x v="106"/>
      <x v="5"/>
      <x v="2"/>
      <x v="5"/>
    </i>
    <i t="default" r="3">
      <x v="2"/>
    </i>
    <i t="countA" r="2">
      <x v="5"/>
    </i>
    <i t="max" r="2">
      <x v="5"/>
    </i>
    <i t="count" r="2">
      <x v="5"/>
    </i>
    <i t="sum" r="1">
      <x v="106"/>
    </i>
    <i t="avg" r="1">
      <x v="106"/>
    </i>
    <i r="1">
      <x v="126"/>
      <x v="6"/>
    </i>
    <i t="sum" r="1">
      <x v="126"/>
    </i>
    <i t="avg" r="1">
      <x v="126"/>
    </i>
    <i r="1">
      <x v="130"/>
      <x v="6"/>
    </i>
    <i t="sum" r="1">
      <x v="130"/>
    </i>
    <i t="avg" r="1">
      <x v="130"/>
    </i>
    <i r="1">
      <x v="135"/>
      <x v="5"/>
      <x v="1"/>
    </i>
    <i t="countA" r="2">
      <x v="5"/>
    </i>
    <i t="max" r="2">
      <x v="5"/>
    </i>
    <i t="count" r="2">
      <x v="5"/>
    </i>
    <i t="sum" r="1">
      <x v="135"/>
    </i>
    <i t="avg" r="1">
      <x v="135"/>
    </i>
    <i r="1">
      <x v="156"/>
      <x v="6"/>
    </i>
    <i t="sum" r="1">
      <x v="156"/>
    </i>
    <i t="avg" r="1">
      <x v="156"/>
    </i>
    <i t="default">
      <x v="28"/>
    </i>
    <i>
      <x v="29"/>
      <x v="2"/>
      <x v="2"/>
    </i>
    <i t="sum" r="1">
      <x v="2"/>
    </i>
    <i t="avg" r="1">
      <x v="2"/>
    </i>
    <i r="1">
      <x v="21"/>
      <x v="5"/>
      <x v="2"/>
      <x v="5"/>
    </i>
    <i t="default" r="3">
      <x v="2"/>
    </i>
    <i t="countA" r="2">
      <x v="5"/>
    </i>
    <i t="max" r="2">
      <x v="5"/>
    </i>
    <i t="count" r="2">
      <x v="5"/>
    </i>
    <i t="sum" r="1">
      <x v="21"/>
    </i>
    <i t="avg" r="1">
      <x v="21"/>
    </i>
    <i r="1">
      <x v="83"/>
      <x v="3"/>
      <x v="4"/>
    </i>
    <i t="countA" r="2">
      <x v="3"/>
    </i>
    <i t="max" r="2">
      <x v="3"/>
    </i>
    <i t="count" r="2">
      <x v="3"/>
    </i>
    <i t="sum" r="1">
      <x v="83"/>
    </i>
    <i t="avg" r="1">
      <x v="83"/>
    </i>
    <i r="1">
      <x v="101"/>
      <x v="4"/>
      <x v="2"/>
      <x v="6"/>
    </i>
    <i t="default" r="3">
      <x v="2"/>
    </i>
    <i t="countA" r="2">
      <x v="4"/>
    </i>
    <i t="max" r="2">
      <x v="4"/>
    </i>
    <i t="count" r="2">
      <x v="4"/>
    </i>
    <i t="sum" r="1">
      <x v="101"/>
    </i>
    <i t="avg" r="1">
      <x v="101"/>
    </i>
    <i r="1">
      <x v="117"/>
      <x v="6"/>
    </i>
    <i t="sum" r="1">
      <x v="117"/>
    </i>
    <i t="avg" r="1">
      <x v="117"/>
    </i>
    <i r="1">
      <x v="130"/>
      <x v="2"/>
    </i>
    <i t="sum" r="1">
      <x v="130"/>
    </i>
    <i t="avg" r="1">
      <x v="130"/>
    </i>
    <i r="1">
      <x v="136"/>
      <x v="4"/>
      <x v="2"/>
      <x v="5"/>
    </i>
    <i t="default" r="3">
      <x v="2"/>
    </i>
    <i t="countA" r="2">
      <x v="4"/>
    </i>
    <i t="max" r="2">
      <x v="4"/>
    </i>
    <i t="count" r="2">
      <x v="4"/>
    </i>
    <i t="sum" r="1">
      <x v="136"/>
    </i>
    <i t="avg" r="1">
      <x v="136"/>
    </i>
    <i r="1">
      <x v="161"/>
      <x v="3"/>
      <x v="1"/>
    </i>
    <i t="countA" r="2">
      <x v="3"/>
    </i>
    <i t="max" r="2">
      <x v="3"/>
    </i>
    <i t="count" r="2">
      <x v="3"/>
    </i>
    <i t="sum" r="1">
      <x v="161"/>
    </i>
    <i t="avg" r="1">
      <x v="161"/>
    </i>
    <i t="default">
      <x v="29"/>
    </i>
    <i>
      <x v="30"/>
      <x v="34"/>
      <x v="1"/>
      <x v="2"/>
      <x v="4"/>
    </i>
    <i t="default" r="3">
      <x v="2"/>
    </i>
    <i t="countA" r="2">
      <x v="1"/>
    </i>
    <i t="max" r="2">
      <x v="1"/>
    </i>
    <i t="count" r="2">
      <x v="1"/>
    </i>
    <i t="sum" r="1">
      <x v="34"/>
    </i>
    <i t="avg" r="1">
      <x v="34"/>
    </i>
    <i r="1">
      <x v="66"/>
      <x v="2"/>
    </i>
    <i t="sum" r="1">
      <x v="66"/>
    </i>
    <i t="avg" r="1">
      <x v="66"/>
    </i>
    <i r="1">
      <x v="92"/>
      <x v="3"/>
      <x v="4"/>
    </i>
    <i t="countA" r="2">
      <x v="3"/>
    </i>
    <i t="max" r="2">
      <x v="3"/>
    </i>
    <i t="count" r="2">
      <x v="3"/>
    </i>
    <i t="sum" r="1">
      <x v="92"/>
    </i>
    <i t="avg" r="1">
      <x v="92"/>
    </i>
    <i r="1">
      <x v="118"/>
      <x v="3"/>
      <x v="2"/>
      <x v="4"/>
    </i>
    <i t="default" r="3">
      <x v="2"/>
    </i>
    <i t="countA" r="2">
      <x v="3"/>
    </i>
    <i t="max" r="2">
      <x v="3"/>
    </i>
    <i t="count" r="2">
      <x v="3"/>
    </i>
    <i t="sum" r="1">
      <x v="118"/>
    </i>
    <i t="avg" r="1">
      <x v="118"/>
    </i>
    <i r="1">
      <x v="125"/>
      <x v="4"/>
      <x v="4"/>
    </i>
    <i t="countA" r="2">
      <x v="4"/>
    </i>
    <i t="max" r="2">
      <x v="4"/>
    </i>
    <i t="count" r="2">
      <x v="4"/>
    </i>
    <i t="sum" r="1">
      <x v="125"/>
    </i>
    <i t="avg" r="1">
      <x v="125"/>
    </i>
    <i r="1">
      <x v="143"/>
      <x v="1"/>
      <x v="3"/>
      <x v="9"/>
    </i>
    <i t="default" r="3">
      <x v="3"/>
    </i>
    <i t="countA" r="2">
      <x v="1"/>
    </i>
    <i t="max" r="2">
      <x v="1"/>
    </i>
    <i t="count" r="2">
      <x v="1"/>
    </i>
    <i t="sum" r="1">
      <x v="143"/>
    </i>
    <i t="avg" r="1">
      <x v="143"/>
    </i>
    <i r="1">
      <x v="158"/>
      <x v="5"/>
      <x v="2"/>
      <x v="5"/>
    </i>
    <i t="default" r="3">
      <x v="2"/>
    </i>
    <i t="countA" r="2">
      <x v="5"/>
    </i>
    <i t="max" r="2">
      <x v="5"/>
    </i>
    <i t="count" r="2">
      <x v="5"/>
    </i>
    <i t="sum" r="1">
      <x v="158"/>
    </i>
    <i t="avg" r="1">
      <x v="158"/>
    </i>
    <i r="1">
      <x v="163"/>
      <x v="1"/>
      <x v="3"/>
      <x v="9"/>
    </i>
    <i t="default" r="3">
      <x v="3"/>
    </i>
    <i t="countA" r="2">
      <x v="1"/>
    </i>
    <i t="max" r="2">
      <x v="1"/>
    </i>
    <i t="count" r="2">
      <x v="1"/>
    </i>
    <i t="sum" r="1">
      <x v="163"/>
    </i>
    <i t="avg" r="1">
      <x v="163"/>
    </i>
    <i t="default">
      <x v="30"/>
    </i>
    <i>
      <x v="31"/>
      <x v="24"/>
      <x v="3"/>
      <x v="1"/>
    </i>
    <i t="countA" r="2">
      <x v="3"/>
    </i>
    <i t="max" r="2">
      <x v="3"/>
    </i>
    <i t="count" r="2">
      <x v="3"/>
    </i>
    <i t="sum" r="1">
      <x v="24"/>
    </i>
    <i t="avg" r="1">
      <x v="24"/>
    </i>
    <i r="1">
      <x v="27"/>
      <x v="1"/>
      <x v="4"/>
    </i>
    <i t="countA" r="2">
      <x v="1"/>
    </i>
    <i t="max" r="2">
      <x v="1"/>
    </i>
    <i t="count" r="2">
      <x v="1"/>
    </i>
    <i t="sum" r="1">
      <x v="27"/>
    </i>
    <i t="avg" r="1">
      <x v="27"/>
    </i>
    <i r="1">
      <x v="53"/>
      <x v="4"/>
      <x v="4"/>
    </i>
    <i t="countA" r="2">
      <x v="4"/>
    </i>
    <i t="max" r="2">
      <x v="4"/>
    </i>
    <i t="count" r="2">
      <x v="4"/>
    </i>
    <i t="sum" r="1">
      <x v="53"/>
    </i>
    <i t="avg" r="1">
      <x v="53"/>
    </i>
    <i t="default">
      <x v="31"/>
    </i>
    <i>
      <x v="32"/>
      <x/>
      <x v="5"/>
      <x v="3"/>
      <x v="7"/>
      <x v="167"/>
    </i>
    <i t="default" r="4">
      <x v="7"/>
    </i>
    <i t="default" r="3">
      <x v="3"/>
    </i>
    <i t="countA" r="2">
      <x v="5"/>
    </i>
    <i t="max" r="2">
      <x v="5"/>
    </i>
    <i t="count" r="2">
      <x v="5"/>
    </i>
    <i t="sum" r="1">
      <x/>
    </i>
    <i t="avg" r="1">
      <x/>
    </i>
    <i r="1">
      <x v="4"/>
      <x v="3"/>
      <x v="2"/>
      <x v="4"/>
    </i>
    <i t="default" r="3">
      <x v="2"/>
    </i>
    <i t="countA" r="2">
      <x v="3"/>
    </i>
    <i t="max" r="2">
      <x v="3"/>
    </i>
    <i t="count" r="2">
      <x v="3"/>
    </i>
    <i t="sum" r="1">
      <x v="4"/>
    </i>
    <i t="avg" r="1">
      <x v="4"/>
    </i>
    <i r="1">
      <x v="58"/>
      <x v="4"/>
      <x v="1"/>
    </i>
    <i t="countA" r="2">
      <x v="4"/>
    </i>
    <i t="max" r="2">
      <x v="4"/>
    </i>
    <i t="count" r="2">
      <x v="4"/>
    </i>
    <i t="sum" r="1">
      <x v="58"/>
    </i>
    <i t="avg" r="1">
      <x v="58"/>
    </i>
    <i r="1">
      <x v="85"/>
      <x v="5"/>
      <x v="3"/>
      <x v="7"/>
      <x v="162"/>
    </i>
    <i t="default" r="4">
      <x v="7"/>
    </i>
    <i t="default" r="3">
      <x v="3"/>
    </i>
    <i t="countA" r="2">
      <x v="5"/>
    </i>
    <i t="max" r="2">
      <x v="5"/>
    </i>
    <i t="count" r="2">
      <x v="5"/>
    </i>
    <i t="sum" r="1">
      <x v="85"/>
    </i>
    <i t="avg" r="1">
      <x v="85"/>
    </i>
    <i r="1">
      <x v="115"/>
      <x v="2"/>
    </i>
    <i t="sum" r="1">
      <x v="115"/>
    </i>
    <i t="avg" r="1">
      <x v="115"/>
    </i>
    <i r="1">
      <x v="137"/>
      <x v="2"/>
    </i>
    <i t="sum" r="1">
      <x v="137"/>
    </i>
    <i t="avg" r="1">
      <x v="137"/>
    </i>
    <i r="1">
      <x v="151"/>
      <x v="4"/>
      <x v="1"/>
    </i>
    <i t="countA" r="2">
      <x v="4"/>
    </i>
    <i t="max" r="2">
      <x v="4"/>
    </i>
    <i t="count" r="2">
      <x v="4"/>
    </i>
    <i t="sum" r="1">
      <x v="151"/>
    </i>
    <i t="avg" r="1">
      <x v="151"/>
    </i>
    <i t="default">
      <x v="32"/>
    </i>
    <i>
      <x v="33"/>
      <x v="29"/>
      <x v="2"/>
    </i>
    <i t="sum" r="1">
      <x v="29"/>
    </i>
    <i t="avg" r="1">
      <x v="29"/>
    </i>
    <i r="1">
      <x v="36"/>
      <x v="4"/>
      <x v="3"/>
      <x v="8"/>
      <x v="118"/>
    </i>
    <i t="default" r="4">
      <x v="8"/>
    </i>
    <i t="default" r="3">
      <x v="3"/>
    </i>
    <i t="countA" r="2">
      <x v="4"/>
    </i>
    <i t="max" r="2">
      <x v="4"/>
    </i>
    <i t="count" r="2">
      <x v="4"/>
    </i>
    <i t="sum" r="1">
      <x v="36"/>
    </i>
    <i t="avg" r="1">
      <x v="36"/>
    </i>
    <i r="1">
      <x v="47"/>
      <x v="1"/>
      <x v="4"/>
    </i>
    <i t="countA" r="2">
      <x v="1"/>
    </i>
    <i t="max" r="2">
      <x v="1"/>
    </i>
    <i t="count" r="2">
      <x v="1"/>
    </i>
    <i t="sum" r="1">
      <x v="47"/>
    </i>
    <i t="avg" r="1">
      <x v="47"/>
    </i>
    <i r="1">
      <x v="68"/>
      <x v="1"/>
      <x v="2"/>
      <x v="4"/>
    </i>
    <i t="default" r="3">
      <x v="2"/>
    </i>
    <i t="countA" r="2">
      <x v="1"/>
    </i>
    <i t="max" r="2">
      <x v="1"/>
    </i>
    <i t="count" r="2">
      <x v="1"/>
    </i>
    <i t="sum" r="1">
      <x v="68"/>
    </i>
    <i t="avg" r="1">
      <x v="68"/>
    </i>
    <i r="1">
      <x v="141"/>
      <x v="1"/>
      <x v="4"/>
    </i>
    <i t="countA" r="2">
      <x v="1"/>
    </i>
    <i t="max" r="2">
      <x v="1"/>
    </i>
    <i t="count" r="2">
      <x v="1"/>
    </i>
    <i t="sum" r="1">
      <x v="141"/>
    </i>
    <i t="avg" r="1">
      <x v="141"/>
    </i>
    <i r="1">
      <x v="161"/>
      <x v="5"/>
      <x v="3"/>
      <x v="7"/>
      <x v="160"/>
    </i>
    <i t="default" r="4">
      <x v="7"/>
    </i>
    <i t="default" r="3">
      <x v="3"/>
    </i>
    <i t="countA" r="2">
      <x v="5"/>
    </i>
    <i t="max" r="2">
      <x v="5"/>
    </i>
    <i t="count" r="2">
      <x v="5"/>
    </i>
    <i t="sum" r="1">
      <x v="161"/>
    </i>
    <i t="avg" r="1">
      <x v="161"/>
    </i>
    <i t="default">
      <x v="33"/>
    </i>
    <i>
      <x v="34"/>
      <x v="38"/>
      <x v="4"/>
      <x v="3"/>
      <x v="9"/>
    </i>
    <i t="default" r="3">
      <x v="3"/>
    </i>
    <i t="countA" r="2">
      <x v="4"/>
    </i>
    <i t="max" r="2">
      <x v="4"/>
    </i>
    <i t="count" r="2">
      <x v="4"/>
    </i>
    <i t="sum" r="1">
      <x v="38"/>
    </i>
    <i t="avg" r="1">
      <x v="38"/>
    </i>
    <i r="1">
      <x v="49"/>
      <x v="2"/>
    </i>
    <i t="sum" r="1">
      <x v="49"/>
    </i>
    <i t="avg" r="1">
      <x v="49"/>
    </i>
    <i r="1">
      <x v="56"/>
      <x v="2"/>
    </i>
    <i t="sum" r="1">
      <x v="56"/>
    </i>
    <i t="avg" r="1">
      <x v="56"/>
    </i>
    <i r="1">
      <x v="129"/>
      <x v="2"/>
    </i>
    <i t="sum" r="1">
      <x v="129"/>
    </i>
    <i t="avg" r="1">
      <x v="129"/>
    </i>
    <i t="default">
      <x v="34"/>
    </i>
    <i t="grand">
      <x/>
    </i>
  </colItems>
  <dataFields count="1">
    <dataField name="Sum of OrderValue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741234-E72E-4813-9F82-3C4A91DA7EEF}" name="tableSampleData" displayName="tableSampleData" ref="A1:L201" totalsRowShown="0">
  <autoFilter ref="A1:L201" xr:uid="{1A741234-E72E-4813-9F82-3C4A91DA7EEF}"/>
  <tableColumns count="12">
    <tableColumn id="1" xr3:uid="{23929F0D-14F6-4384-98D5-88D8C8666134}" name="Name"/>
    <tableColumn id="2" xr3:uid="{9394CA06-F237-4F1D-A8E2-19109EB592F7}" name="Phone"/>
    <tableColumn id="3" xr3:uid="{F0E65D9F-AAAB-4AA8-B17A-27C65F27AEF5}" name="Email"/>
    <tableColumn id="4" xr3:uid="{DA5E5321-7ECA-4676-9F0F-B63476D8571C}" name="PostalZip" dataDxfId="4"/>
    <tableColumn id="5" xr3:uid="{36F19EA0-FB83-4612-AA89-922E7E22B769}" name="Region"/>
    <tableColumn id="6" xr3:uid="{059FB985-5EA8-49C2-AEAB-EDE9C80EE95E}" name="Country"/>
    <tableColumn id="7" xr3:uid="{34DF7743-F29F-4DBB-AF31-12D9E10351C8}" name="Items"/>
    <tableColumn id="8" xr3:uid="{CF139191-C49F-4F41-A681-1EE30C653B5B}" name="OrderValue" dataDxfId="3" dataCellStyle="Currency"/>
    <tableColumn id="9" xr3:uid="{D96E24C9-310A-4833-B377-95BEA4E6B3C6}" name="IsValid"/>
    <tableColumn id="10" xr3:uid="{9AC15208-0432-4F6E-B2DA-A543349A2690}" name="InvoiceDate" dataDxfId="2"/>
    <tableColumn id="11" xr3:uid="{DF2296F9-D48D-4898-8CF9-24B53970E417}" name="Rating" dataDxfId="1" dataCellStyle="Comma"/>
    <tableColumn id="12" xr3:uid="{BCB9F255-175A-4990-8DFC-C1D662DB9655}" name="Score" dataDxfId="0" dataCellStyle="Comm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EC6A7-19AA-43AD-A5F9-CEDF221BB280}">
  <dimension ref="A1:L201"/>
  <sheetViews>
    <sheetView workbookViewId="0">
      <selection activeCell="A2" sqref="A1:L201"/>
    </sheetView>
  </sheetViews>
  <sheetFormatPr defaultRowHeight="15" x14ac:dyDescent="0.25"/>
  <cols>
    <col min="1" max="1" width="18.28515625" bestFit="1" customWidth="1"/>
    <col min="2" max="2" width="14.28515625" bestFit="1" customWidth="1"/>
    <col min="3" max="3" width="36.5703125" bestFit="1" customWidth="1"/>
    <col min="4" max="4" width="11.7109375" style="4" bestFit="1" customWidth="1"/>
    <col min="5" max="5" width="29.42578125" bestFit="1" customWidth="1"/>
    <col min="6" max="6" width="18.28515625" bestFit="1" customWidth="1"/>
    <col min="7" max="7" width="8.28515625" customWidth="1"/>
    <col min="8" max="8" width="12.85546875" style="2" bestFit="1" customWidth="1"/>
    <col min="9" max="9" width="9.140625" customWidth="1"/>
    <col min="10" max="10" width="14" customWidth="1"/>
    <col min="11" max="11" width="10.28515625" style="3" customWidth="1"/>
    <col min="12" max="12" width="9.7109375" style="3" customWidth="1"/>
  </cols>
  <sheetData>
    <row r="1" spans="1:12" x14ac:dyDescent="0.25">
      <c r="A1" t="s">
        <v>846</v>
      </c>
      <c r="B1" t="s">
        <v>847</v>
      </c>
      <c r="C1" t="s">
        <v>848</v>
      </c>
      <c r="D1" s="4" t="s">
        <v>849</v>
      </c>
      <c r="E1" t="s">
        <v>850</v>
      </c>
      <c r="F1" t="s">
        <v>851</v>
      </c>
      <c r="G1" t="s">
        <v>0</v>
      </c>
      <c r="H1" s="2" t="s">
        <v>857</v>
      </c>
      <c r="I1" t="s">
        <v>852</v>
      </c>
      <c r="J1" t="s">
        <v>1</v>
      </c>
      <c r="K1" s="3" t="s">
        <v>72</v>
      </c>
      <c r="L1" s="3" t="s">
        <v>73</v>
      </c>
    </row>
    <row r="2" spans="1:12" x14ac:dyDescent="0.25">
      <c r="A2" t="s">
        <v>74</v>
      </c>
      <c r="B2" t="s">
        <v>75</v>
      </c>
      <c r="C2" t="s">
        <v>76</v>
      </c>
      <c r="D2" s="4">
        <v>84412</v>
      </c>
      <c r="E2" t="s">
        <v>77</v>
      </c>
      <c r="F2" t="s">
        <v>53</v>
      </c>
      <c r="G2">
        <v>432</v>
      </c>
      <c r="H2" s="2">
        <v>40060.519999999997</v>
      </c>
      <c r="I2" t="b">
        <v>1</v>
      </c>
      <c r="J2" s="1">
        <v>45028</v>
      </c>
      <c r="K2" s="3">
        <v>26.937000000000001</v>
      </c>
      <c r="L2" s="3">
        <v>99.92</v>
      </c>
    </row>
    <row r="3" spans="1:12" x14ac:dyDescent="0.25">
      <c r="A3" t="s">
        <v>78</v>
      </c>
      <c r="B3" t="s">
        <v>79</v>
      </c>
      <c r="C3" t="s">
        <v>80</v>
      </c>
      <c r="D3" s="4">
        <v>149260</v>
      </c>
      <c r="E3" t="s">
        <v>81</v>
      </c>
      <c r="F3" t="s">
        <v>40</v>
      </c>
      <c r="G3">
        <v>143</v>
      </c>
      <c r="H3" s="2">
        <v>73875.25</v>
      </c>
      <c r="I3" t="b">
        <v>1</v>
      </c>
      <c r="J3" s="1">
        <v>44663</v>
      </c>
      <c r="K3" s="3">
        <v>12.314</v>
      </c>
      <c r="L3" s="3">
        <v>96.02</v>
      </c>
    </row>
    <row r="4" spans="1:12" x14ac:dyDescent="0.25">
      <c r="A4" t="s">
        <v>82</v>
      </c>
      <c r="B4" t="s">
        <v>83</v>
      </c>
      <c r="C4" t="s">
        <v>84</v>
      </c>
      <c r="D4" s="4">
        <v>61326</v>
      </c>
      <c r="E4" t="s">
        <v>85</v>
      </c>
      <c r="F4" t="s">
        <v>12</v>
      </c>
      <c r="G4">
        <v>128</v>
      </c>
      <c r="H4" s="2">
        <v>74933.490000000005</v>
      </c>
      <c r="I4" t="b">
        <v>1</v>
      </c>
      <c r="J4" s="1">
        <v>45384</v>
      </c>
      <c r="K4" s="3">
        <v>4.7370000000000001</v>
      </c>
      <c r="L4" s="3">
        <v>80.260000000000005</v>
      </c>
    </row>
    <row r="5" spans="1:12" x14ac:dyDescent="0.25">
      <c r="A5" t="s">
        <v>86</v>
      </c>
      <c r="B5" t="s">
        <v>87</v>
      </c>
      <c r="C5" t="s">
        <v>815</v>
      </c>
      <c r="D5" s="4">
        <v>8012</v>
      </c>
      <c r="E5" t="s">
        <v>88</v>
      </c>
      <c r="F5" t="s">
        <v>30</v>
      </c>
      <c r="G5">
        <v>212</v>
      </c>
      <c r="H5" s="2">
        <v>82800.600000000006</v>
      </c>
      <c r="I5" t="b">
        <v>1</v>
      </c>
      <c r="J5" s="1">
        <v>44160</v>
      </c>
      <c r="K5" s="3">
        <v>5.6180000000000003</v>
      </c>
      <c r="L5" s="3">
        <v>52.17</v>
      </c>
    </row>
    <row r="6" spans="1:12" x14ac:dyDescent="0.25">
      <c r="A6" t="s">
        <v>89</v>
      </c>
      <c r="B6" t="s">
        <v>90</v>
      </c>
      <c r="C6" t="s">
        <v>816</v>
      </c>
      <c r="D6" s="4">
        <v>66315</v>
      </c>
      <c r="E6" t="s">
        <v>91</v>
      </c>
      <c r="F6" t="s">
        <v>3</v>
      </c>
      <c r="G6">
        <v>300</v>
      </c>
      <c r="H6" s="2">
        <v>48316.49</v>
      </c>
      <c r="I6" t="b">
        <v>0</v>
      </c>
      <c r="J6" s="1">
        <v>45021</v>
      </c>
      <c r="K6" s="3">
        <v>27.927</v>
      </c>
      <c r="L6" s="3">
        <v>99.87</v>
      </c>
    </row>
    <row r="7" spans="1:12" x14ac:dyDescent="0.25">
      <c r="A7" t="s">
        <v>92</v>
      </c>
      <c r="B7" t="s">
        <v>93</v>
      </c>
      <c r="C7" t="s">
        <v>94</v>
      </c>
      <c r="D7" s="4">
        <v>28572</v>
      </c>
      <c r="E7" t="s">
        <v>67</v>
      </c>
      <c r="F7" t="s">
        <v>15</v>
      </c>
      <c r="G7">
        <v>15</v>
      </c>
      <c r="H7" s="2">
        <v>19359.05</v>
      </c>
      <c r="I7" t="b">
        <v>1</v>
      </c>
      <c r="J7" s="1">
        <v>44884</v>
      </c>
      <c r="K7" s="3">
        <v>6.7910000000000004</v>
      </c>
      <c r="L7" s="3">
        <v>8.84</v>
      </c>
    </row>
    <row r="8" spans="1:12" x14ac:dyDescent="0.25">
      <c r="A8" t="s">
        <v>95</v>
      </c>
      <c r="B8" t="s">
        <v>96</v>
      </c>
      <c r="C8" t="s">
        <v>97</v>
      </c>
      <c r="D8" s="4">
        <v>17201</v>
      </c>
      <c r="E8" t="s">
        <v>98</v>
      </c>
      <c r="F8" t="s">
        <v>20</v>
      </c>
      <c r="G8">
        <v>79</v>
      </c>
      <c r="H8" s="2">
        <v>22863.95</v>
      </c>
      <c r="I8" t="b">
        <v>1</v>
      </c>
      <c r="J8" s="1">
        <v>45532</v>
      </c>
      <c r="K8" s="3">
        <v>19.588999999999999</v>
      </c>
      <c r="L8" s="3">
        <v>14.44</v>
      </c>
    </row>
    <row r="9" spans="1:12" x14ac:dyDescent="0.25">
      <c r="A9" t="s">
        <v>99</v>
      </c>
      <c r="B9" t="s">
        <v>100</v>
      </c>
      <c r="C9" t="s">
        <v>101</v>
      </c>
      <c r="D9" s="4">
        <v>681748</v>
      </c>
      <c r="E9" t="s">
        <v>102</v>
      </c>
      <c r="F9" t="s">
        <v>37</v>
      </c>
      <c r="G9">
        <v>468</v>
      </c>
      <c r="H9" s="2">
        <v>65095.51</v>
      </c>
      <c r="I9" t="b">
        <v>1</v>
      </c>
      <c r="J9" s="1">
        <v>44141</v>
      </c>
      <c r="K9" s="3">
        <v>11.023</v>
      </c>
      <c r="L9" s="3">
        <v>88.55</v>
      </c>
    </row>
    <row r="10" spans="1:12" x14ac:dyDescent="0.25">
      <c r="A10" t="s">
        <v>103</v>
      </c>
      <c r="B10" t="s">
        <v>104</v>
      </c>
      <c r="C10" t="s">
        <v>105</v>
      </c>
      <c r="D10" s="4">
        <v>3398</v>
      </c>
      <c r="E10" t="s">
        <v>106</v>
      </c>
      <c r="F10" t="s">
        <v>28</v>
      </c>
      <c r="G10">
        <v>18</v>
      </c>
      <c r="H10" s="2">
        <v>20126.98</v>
      </c>
      <c r="I10" t="b">
        <v>1</v>
      </c>
      <c r="J10" s="1">
        <v>45688</v>
      </c>
      <c r="K10" s="3">
        <v>11.5</v>
      </c>
      <c r="L10" s="3">
        <v>27.35</v>
      </c>
    </row>
    <row r="11" spans="1:12" x14ac:dyDescent="0.25">
      <c r="A11" t="s">
        <v>107</v>
      </c>
      <c r="B11" t="s">
        <v>108</v>
      </c>
      <c r="C11" t="s">
        <v>109</v>
      </c>
      <c r="D11" s="4">
        <v>65453</v>
      </c>
      <c r="E11" t="s">
        <v>110</v>
      </c>
      <c r="F11" t="s">
        <v>48</v>
      </c>
      <c r="G11">
        <v>487</v>
      </c>
      <c r="H11" s="2">
        <v>48578.11</v>
      </c>
      <c r="I11" t="b">
        <v>0</v>
      </c>
      <c r="J11" s="1">
        <v>44606</v>
      </c>
      <c r="K11" s="3">
        <v>10.351000000000001</v>
      </c>
      <c r="L11" s="3">
        <v>22.34</v>
      </c>
    </row>
    <row r="12" spans="1:12" x14ac:dyDescent="0.25">
      <c r="A12" t="s">
        <v>111</v>
      </c>
      <c r="B12" t="s">
        <v>112</v>
      </c>
      <c r="C12" t="s">
        <v>113</v>
      </c>
      <c r="D12" s="4" t="s">
        <v>114</v>
      </c>
      <c r="E12" t="s">
        <v>115</v>
      </c>
      <c r="F12" t="s">
        <v>42</v>
      </c>
      <c r="G12">
        <v>480</v>
      </c>
      <c r="H12" s="2">
        <v>54406.29</v>
      </c>
      <c r="I12" t="b">
        <v>0</v>
      </c>
      <c r="J12" s="1">
        <v>45248</v>
      </c>
      <c r="K12" s="3">
        <v>25.885999999999999</v>
      </c>
      <c r="L12" s="3">
        <v>91.72</v>
      </c>
    </row>
    <row r="13" spans="1:12" x14ac:dyDescent="0.25">
      <c r="A13" t="s">
        <v>116</v>
      </c>
      <c r="B13" t="s">
        <v>117</v>
      </c>
      <c r="C13" t="s">
        <v>118</v>
      </c>
      <c r="D13" s="4" t="s">
        <v>119</v>
      </c>
      <c r="E13" t="s">
        <v>120</v>
      </c>
      <c r="F13" t="s">
        <v>36</v>
      </c>
      <c r="G13">
        <v>453</v>
      </c>
      <c r="H13" s="2">
        <v>86936.95</v>
      </c>
      <c r="I13" t="b">
        <v>1</v>
      </c>
      <c r="J13" s="1">
        <v>44671</v>
      </c>
      <c r="K13" s="3">
        <v>11.343999999999999</v>
      </c>
      <c r="L13" s="3">
        <v>16.62</v>
      </c>
    </row>
    <row r="14" spans="1:12" x14ac:dyDescent="0.25">
      <c r="A14" t="s">
        <v>121</v>
      </c>
      <c r="B14" t="s">
        <v>122</v>
      </c>
      <c r="C14" t="s">
        <v>123</v>
      </c>
      <c r="D14" s="4">
        <v>9232</v>
      </c>
      <c r="E14" t="s">
        <v>124</v>
      </c>
      <c r="F14" t="s">
        <v>36</v>
      </c>
      <c r="G14">
        <v>393</v>
      </c>
      <c r="H14" s="2">
        <v>33997.99</v>
      </c>
      <c r="I14" t="b">
        <v>1</v>
      </c>
      <c r="J14" s="1">
        <v>44860</v>
      </c>
      <c r="K14" s="3">
        <v>25.651</v>
      </c>
      <c r="L14" s="3">
        <v>46.45</v>
      </c>
    </row>
    <row r="15" spans="1:12" x14ac:dyDescent="0.25">
      <c r="A15" t="s">
        <v>125</v>
      </c>
      <c r="B15" t="s">
        <v>126</v>
      </c>
      <c r="C15" t="s">
        <v>127</v>
      </c>
      <c r="D15" s="4">
        <v>674851</v>
      </c>
      <c r="E15" t="s">
        <v>128</v>
      </c>
      <c r="F15" t="s">
        <v>38</v>
      </c>
      <c r="G15">
        <v>47</v>
      </c>
      <c r="H15" s="2">
        <v>49293.96</v>
      </c>
      <c r="I15" t="b">
        <v>1</v>
      </c>
      <c r="J15" s="1">
        <v>45486</v>
      </c>
      <c r="K15" s="3">
        <v>27.797000000000001</v>
      </c>
      <c r="L15" s="3">
        <v>24.09</v>
      </c>
    </row>
    <row r="16" spans="1:12" x14ac:dyDescent="0.25">
      <c r="A16" t="s">
        <v>129</v>
      </c>
      <c r="B16" t="s">
        <v>130</v>
      </c>
      <c r="C16" t="s">
        <v>131</v>
      </c>
      <c r="D16" s="4">
        <v>44456</v>
      </c>
      <c r="E16" t="s">
        <v>132</v>
      </c>
      <c r="F16" t="s">
        <v>32</v>
      </c>
      <c r="G16">
        <v>389</v>
      </c>
      <c r="H16" s="2">
        <v>58282.41</v>
      </c>
      <c r="I16" t="b">
        <v>1</v>
      </c>
      <c r="J16" s="1">
        <v>44010</v>
      </c>
      <c r="K16" s="3">
        <v>2.419</v>
      </c>
      <c r="L16" s="3">
        <v>9.1</v>
      </c>
    </row>
    <row r="17" spans="1:12" x14ac:dyDescent="0.25">
      <c r="A17" t="s">
        <v>133</v>
      </c>
      <c r="B17" t="s">
        <v>134</v>
      </c>
      <c r="C17" t="s">
        <v>135</v>
      </c>
      <c r="D17" s="4" t="s">
        <v>136</v>
      </c>
      <c r="E17" t="s">
        <v>137</v>
      </c>
      <c r="F17" t="s">
        <v>48</v>
      </c>
      <c r="G17">
        <v>308</v>
      </c>
      <c r="H17" s="2">
        <v>8729.49</v>
      </c>
      <c r="I17" t="b">
        <v>0</v>
      </c>
      <c r="J17" s="1">
        <v>45433</v>
      </c>
      <c r="K17" s="3">
        <v>3.4609999999999999</v>
      </c>
      <c r="L17" s="3">
        <v>87.53</v>
      </c>
    </row>
    <row r="18" spans="1:12" x14ac:dyDescent="0.25">
      <c r="A18" t="s">
        <v>138</v>
      </c>
      <c r="B18" t="s">
        <v>139</v>
      </c>
      <c r="C18" t="s">
        <v>140</v>
      </c>
      <c r="D18" s="4" t="s">
        <v>141</v>
      </c>
      <c r="E18" t="s">
        <v>39</v>
      </c>
      <c r="F18" t="s">
        <v>7</v>
      </c>
      <c r="G18">
        <v>232</v>
      </c>
      <c r="H18" s="2">
        <v>38717.9</v>
      </c>
      <c r="I18" t="b">
        <v>1</v>
      </c>
      <c r="J18" s="1">
        <v>45194</v>
      </c>
      <c r="K18" s="3">
        <v>5.4690000000000003</v>
      </c>
      <c r="L18" s="3">
        <v>66.650000000000006</v>
      </c>
    </row>
    <row r="19" spans="1:12" x14ac:dyDescent="0.25">
      <c r="A19" t="s">
        <v>142</v>
      </c>
      <c r="B19" t="s">
        <v>143</v>
      </c>
      <c r="C19" t="s">
        <v>144</v>
      </c>
      <c r="D19" s="4">
        <v>41418</v>
      </c>
      <c r="E19" t="s">
        <v>145</v>
      </c>
      <c r="F19" t="s">
        <v>61</v>
      </c>
      <c r="G19">
        <v>229</v>
      </c>
      <c r="H19" s="2">
        <v>44012.4</v>
      </c>
      <c r="I19" t="b">
        <v>1</v>
      </c>
      <c r="J19" s="1">
        <v>44016</v>
      </c>
      <c r="K19" s="3">
        <v>23.567</v>
      </c>
      <c r="L19" s="3">
        <v>69.62</v>
      </c>
    </row>
    <row r="20" spans="1:12" x14ac:dyDescent="0.25">
      <c r="A20" t="s">
        <v>146</v>
      </c>
      <c r="B20" t="s">
        <v>147</v>
      </c>
      <c r="C20" t="s">
        <v>148</v>
      </c>
      <c r="D20" s="4" t="s">
        <v>149</v>
      </c>
      <c r="E20" t="s">
        <v>49</v>
      </c>
      <c r="F20" t="s">
        <v>13</v>
      </c>
      <c r="G20">
        <v>423</v>
      </c>
      <c r="H20" s="2">
        <v>88193.17</v>
      </c>
      <c r="I20" t="b">
        <v>1</v>
      </c>
      <c r="J20" s="1">
        <v>44847</v>
      </c>
      <c r="K20" s="3">
        <v>6.7590000000000003</v>
      </c>
      <c r="L20" s="3">
        <v>29.13</v>
      </c>
    </row>
    <row r="21" spans="1:12" x14ac:dyDescent="0.25">
      <c r="A21" t="s">
        <v>150</v>
      </c>
      <c r="B21" t="s">
        <v>151</v>
      </c>
      <c r="C21" t="s">
        <v>152</v>
      </c>
      <c r="D21" s="4" t="s">
        <v>153</v>
      </c>
      <c r="E21" t="s">
        <v>154</v>
      </c>
      <c r="F21" t="s">
        <v>33</v>
      </c>
      <c r="G21">
        <v>431</v>
      </c>
      <c r="H21" s="2">
        <v>36714.550000000003</v>
      </c>
      <c r="I21" t="b">
        <v>1</v>
      </c>
      <c r="J21" s="1">
        <v>45712</v>
      </c>
      <c r="K21" s="3">
        <v>4.0659999999999998</v>
      </c>
      <c r="L21" s="3">
        <v>23.48</v>
      </c>
    </row>
    <row r="22" spans="1:12" x14ac:dyDescent="0.25">
      <c r="A22" t="s">
        <v>155</v>
      </c>
      <c r="B22" t="s">
        <v>156</v>
      </c>
      <c r="C22" t="s">
        <v>157</v>
      </c>
      <c r="D22" s="4" t="s">
        <v>158</v>
      </c>
      <c r="E22" t="s">
        <v>159</v>
      </c>
      <c r="F22" t="s">
        <v>7</v>
      </c>
      <c r="G22">
        <v>168</v>
      </c>
      <c r="H22" s="2">
        <v>86567.11</v>
      </c>
      <c r="I22" t="b">
        <v>1</v>
      </c>
      <c r="J22" s="1">
        <v>44552</v>
      </c>
      <c r="K22" s="3">
        <v>20.834</v>
      </c>
      <c r="L22" s="3">
        <v>84.21</v>
      </c>
    </row>
    <row r="23" spans="1:12" x14ac:dyDescent="0.25">
      <c r="A23" t="s">
        <v>160</v>
      </c>
      <c r="B23" t="s">
        <v>161</v>
      </c>
      <c r="C23" t="s">
        <v>162</v>
      </c>
      <c r="D23" s="4">
        <v>2533</v>
      </c>
      <c r="E23" t="s">
        <v>163</v>
      </c>
      <c r="F23" t="s">
        <v>47</v>
      </c>
      <c r="G23">
        <v>147</v>
      </c>
      <c r="H23" s="2">
        <v>11412.23</v>
      </c>
      <c r="I23" t="b">
        <v>0</v>
      </c>
      <c r="J23" s="1">
        <v>44464</v>
      </c>
      <c r="K23" s="3">
        <v>2.6480000000000001</v>
      </c>
      <c r="L23" s="3">
        <v>20.28</v>
      </c>
    </row>
    <row r="24" spans="1:12" x14ac:dyDescent="0.25">
      <c r="A24" t="s">
        <v>164</v>
      </c>
      <c r="B24" t="s">
        <v>165</v>
      </c>
      <c r="C24" t="s">
        <v>166</v>
      </c>
      <c r="D24" s="4">
        <v>188283</v>
      </c>
      <c r="E24" t="s">
        <v>167</v>
      </c>
      <c r="F24" t="s">
        <v>28</v>
      </c>
      <c r="G24">
        <v>346</v>
      </c>
      <c r="H24" s="2">
        <v>22188.53</v>
      </c>
      <c r="I24" t="b">
        <v>0</v>
      </c>
      <c r="J24" s="1">
        <v>44529</v>
      </c>
      <c r="K24" s="3">
        <v>27.683</v>
      </c>
      <c r="L24" s="3">
        <v>63.92</v>
      </c>
    </row>
    <row r="25" spans="1:12" x14ac:dyDescent="0.25">
      <c r="A25" t="s">
        <v>168</v>
      </c>
      <c r="B25" t="s">
        <v>169</v>
      </c>
      <c r="C25" t="s">
        <v>170</v>
      </c>
      <c r="D25" s="4">
        <v>1514</v>
      </c>
      <c r="E25" t="s">
        <v>70</v>
      </c>
      <c r="F25" t="s">
        <v>9</v>
      </c>
      <c r="G25">
        <v>350</v>
      </c>
      <c r="H25" s="2">
        <v>33991.89</v>
      </c>
      <c r="I25" t="b">
        <v>0</v>
      </c>
      <c r="J25" s="1">
        <v>44194</v>
      </c>
      <c r="K25" s="3">
        <v>28.524000000000001</v>
      </c>
      <c r="L25" s="3">
        <v>12.06</v>
      </c>
    </row>
    <row r="26" spans="1:12" x14ac:dyDescent="0.25">
      <c r="A26" t="s">
        <v>171</v>
      </c>
      <c r="B26" t="s">
        <v>172</v>
      </c>
      <c r="C26" t="s">
        <v>817</v>
      </c>
      <c r="D26" s="4">
        <v>757528</v>
      </c>
      <c r="E26" t="s">
        <v>6</v>
      </c>
      <c r="F26" t="s">
        <v>15</v>
      </c>
      <c r="G26">
        <v>301</v>
      </c>
      <c r="H26" s="2">
        <v>3619.93</v>
      </c>
      <c r="I26" t="b">
        <v>1</v>
      </c>
      <c r="J26" s="1">
        <v>44376</v>
      </c>
      <c r="K26" s="3">
        <v>13.598000000000001</v>
      </c>
      <c r="L26" s="3">
        <v>56.37</v>
      </c>
    </row>
    <row r="27" spans="1:12" x14ac:dyDescent="0.25">
      <c r="A27" t="s">
        <v>173</v>
      </c>
      <c r="B27" t="s">
        <v>174</v>
      </c>
      <c r="C27" t="s">
        <v>175</v>
      </c>
      <c r="D27" s="4" t="s">
        <v>176</v>
      </c>
      <c r="E27" t="s">
        <v>177</v>
      </c>
      <c r="F27" t="s">
        <v>40</v>
      </c>
      <c r="G27">
        <v>407</v>
      </c>
      <c r="H27" s="2">
        <v>3387.11</v>
      </c>
      <c r="I27" t="b">
        <v>1</v>
      </c>
      <c r="J27" s="1">
        <v>44959</v>
      </c>
      <c r="K27" s="3">
        <v>17.363</v>
      </c>
      <c r="L27" s="3">
        <v>4.18</v>
      </c>
    </row>
    <row r="28" spans="1:12" x14ac:dyDescent="0.25">
      <c r="A28" t="s">
        <v>178</v>
      </c>
      <c r="B28" t="s">
        <v>179</v>
      </c>
      <c r="C28" t="s">
        <v>180</v>
      </c>
      <c r="D28" s="4">
        <v>43936</v>
      </c>
      <c r="E28" t="s">
        <v>181</v>
      </c>
      <c r="F28" t="s">
        <v>7</v>
      </c>
      <c r="G28">
        <v>171</v>
      </c>
      <c r="H28" s="2">
        <v>87450</v>
      </c>
      <c r="I28" t="b">
        <v>1</v>
      </c>
      <c r="J28" s="1">
        <v>44527</v>
      </c>
      <c r="K28" s="3">
        <v>19.718</v>
      </c>
      <c r="L28" s="3">
        <v>26.14</v>
      </c>
    </row>
    <row r="29" spans="1:12" x14ac:dyDescent="0.25">
      <c r="A29" t="s">
        <v>182</v>
      </c>
      <c r="B29" t="s">
        <v>183</v>
      </c>
      <c r="C29" t="s">
        <v>184</v>
      </c>
      <c r="D29" s="4" t="s">
        <v>185</v>
      </c>
      <c r="E29" t="s">
        <v>186</v>
      </c>
      <c r="F29" t="s">
        <v>9</v>
      </c>
      <c r="G29">
        <v>488</v>
      </c>
      <c r="H29" s="2">
        <v>15735.99</v>
      </c>
      <c r="I29" t="b">
        <v>1</v>
      </c>
      <c r="J29" s="1">
        <v>44588</v>
      </c>
      <c r="K29" s="3">
        <v>13.747999999999999</v>
      </c>
      <c r="L29" s="3">
        <v>95.76</v>
      </c>
    </row>
    <row r="30" spans="1:12" x14ac:dyDescent="0.25">
      <c r="A30" t="s">
        <v>187</v>
      </c>
      <c r="B30" t="s">
        <v>188</v>
      </c>
      <c r="C30" t="s">
        <v>189</v>
      </c>
      <c r="D30" s="4" t="s">
        <v>190</v>
      </c>
      <c r="E30" t="s">
        <v>191</v>
      </c>
      <c r="F30" t="s">
        <v>19</v>
      </c>
      <c r="G30">
        <v>239</v>
      </c>
      <c r="H30" s="2">
        <v>35270.660000000003</v>
      </c>
      <c r="I30" t="b">
        <v>1</v>
      </c>
      <c r="J30" s="1">
        <v>44386</v>
      </c>
      <c r="K30" s="3">
        <v>4.8070000000000004</v>
      </c>
      <c r="L30" s="3">
        <v>21.5</v>
      </c>
    </row>
    <row r="31" spans="1:12" x14ac:dyDescent="0.25">
      <c r="A31" t="s">
        <v>192</v>
      </c>
      <c r="B31" t="s">
        <v>193</v>
      </c>
      <c r="C31" t="s">
        <v>194</v>
      </c>
      <c r="D31" s="4">
        <v>35146</v>
      </c>
      <c r="E31" t="s">
        <v>58</v>
      </c>
      <c r="F31" t="s">
        <v>37</v>
      </c>
      <c r="G31">
        <v>58</v>
      </c>
      <c r="H31" s="2">
        <v>71347.63</v>
      </c>
      <c r="I31" t="b">
        <v>1</v>
      </c>
      <c r="J31" s="1">
        <v>44721</v>
      </c>
      <c r="K31" s="3">
        <v>17.085000000000001</v>
      </c>
      <c r="L31" s="3">
        <v>2.84</v>
      </c>
    </row>
    <row r="32" spans="1:12" x14ac:dyDescent="0.25">
      <c r="A32" t="s">
        <v>195</v>
      </c>
      <c r="B32" t="s">
        <v>196</v>
      </c>
      <c r="C32" t="s">
        <v>197</v>
      </c>
      <c r="D32" s="4">
        <v>7277</v>
      </c>
      <c r="E32" t="s">
        <v>198</v>
      </c>
      <c r="F32" t="s">
        <v>15</v>
      </c>
      <c r="G32">
        <v>357</v>
      </c>
      <c r="H32" s="2">
        <v>68436.149999999994</v>
      </c>
      <c r="I32" t="b">
        <v>1</v>
      </c>
      <c r="J32" s="1">
        <v>44593</v>
      </c>
      <c r="K32" s="3">
        <v>8.9649999999999999</v>
      </c>
      <c r="L32" s="3">
        <v>50.51</v>
      </c>
    </row>
    <row r="33" spans="1:12" x14ac:dyDescent="0.25">
      <c r="A33" t="s">
        <v>199</v>
      </c>
      <c r="B33" t="s">
        <v>200</v>
      </c>
      <c r="C33" t="s">
        <v>201</v>
      </c>
      <c r="D33" s="4">
        <v>3371</v>
      </c>
      <c r="E33" t="s">
        <v>70</v>
      </c>
      <c r="F33" t="s">
        <v>53</v>
      </c>
      <c r="G33">
        <v>235</v>
      </c>
      <c r="H33" s="2">
        <v>89704.3</v>
      </c>
      <c r="I33" t="b">
        <v>0</v>
      </c>
      <c r="J33" s="1">
        <v>45588</v>
      </c>
      <c r="K33" s="3">
        <v>11.192</v>
      </c>
      <c r="L33" s="3">
        <v>6.3</v>
      </c>
    </row>
    <row r="34" spans="1:12" x14ac:dyDescent="0.25">
      <c r="A34" t="s">
        <v>202</v>
      </c>
      <c r="B34" t="s">
        <v>203</v>
      </c>
      <c r="C34" t="s">
        <v>204</v>
      </c>
      <c r="D34" s="4">
        <v>511182</v>
      </c>
      <c r="E34" t="s">
        <v>35</v>
      </c>
      <c r="F34" t="s">
        <v>44</v>
      </c>
      <c r="G34">
        <v>445</v>
      </c>
      <c r="H34" s="2">
        <v>62052.89</v>
      </c>
      <c r="I34" t="b">
        <v>1</v>
      </c>
      <c r="J34" s="1">
        <v>44179</v>
      </c>
      <c r="K34" s="3">
        <v>5.4729999999999999</v>
      </c>
      <c r="L34" s="3">
        <v>68.3</v>
      </c>
    </row>
    <row r="35" spans="1:12" x14ac:dyDescent="0.25">
      <c r="A35" t="s">
        <v>205</v>
      </c>
      <c r="B35" t="s">
        <v>206</v>
      </c>
      <c r="C35" t="s">
        <v>207</v>
      </c>
      <c r="D35" s="4">
        <v>46865</v>
      </c>
      <c r="E35" t="s">
        <v>208</v>
      </c>
      <c r="F35" t="s">
        <v>12</v>
      </c>
      <c r="G35">
        <v>41</v>
      </c>
      <c r="H35" s="2">
        <v>6380.07</v>
      </c>
      <c r="I35" t="b">
        <v>1</v>
      </c>
      <c r="J35" s="1">
        <v>44301</v>
      </c>
      <c r="K35" s="3">
        <v>28.128</v>
      </c>
      <c r="L35" s="3">
        <v>78.31</v>
      </c>
    </row>
    <row r="36" spans="1:12" x14ac:dyDescent="0.25">
      <c r="A36" t="s">
        <v>209</v>
      </c>
      <c r="B36" t="s">
        <v>210</v>
      </c>
      <c r="C36" t="s">
        <v>818</v>
      </c>
      <c r="D36" s="4">
        <v>214220</v>
      </c>
      <c r="E36" t="s">
        <v>211</v>
      </c>
      <c r="F36" t="s">
        <v>48</v>
      </c>
      <c r="G36">
        <v>122</v>
      </c>
      <c r="H36" s="2">
        <v>71538.320000000007</v>
      </c>
      <c r="I36" t="b">
        <v>1</v>
      </c>
      <c r="J36" s="1">
        <v>45089</v>
      </c>
      <c r="K36" s="3">
        <v>10.414</v>
      </c>
      <c r="L36" s="3">
        <v>42.29</v>
      </c>
    </row>
    <row r="37" spans="1:12" x14ac:dyDescent="0.25">
      <c r="A37" t="s">
        <v>212</v>
      </c>
      <c r="B37" t="s">
        <v>213</v>
      </c>
      <c r="C37" t="s">
        <v>214</v>
      </c>
      <c r="D37" s="4">
        <v>346265</v>
      </c>
      <c r="E37" t="s">
        <v>215</v>
      </c>
      <c r="F37" t="s">
        <v>13</v>
      </c>
      <c r="G37">
        <v>411</v>
      </c>
      <c r="H37" s="2">
        <v>71213.23</v>
      </c>
      <c r="I37" t="b">
        <v>1</v>
      </c>
      <c r="J37" s="1">
        <v>45490</v>
      </c>
      <c r="K37" s="3">
        <v>10.210000000000001</v>
      </c>
      <c r="L37" s="3">
        <v>4.91</v>
      </c>
    </row>
    <row r="38" spans="1:12" x14ac:dyDescent="0.25">
      <c r="A38" t="s">
        <v>216</v>
      </c>
      <c r="B38" t="s">
        <v>217</v>
      </c>
      <c r="C38" t="s">
        <v>819</v>
      </c>
      <c r="D38" s="4">
        <v>278878</v>
      </c>
      <c r="E38" t="s">
        <v>218</v>
      </c>
      <c r="F38" t="s">
        <v>15</v>
      </c>
      <c r="G38">
        <v>192</v>
      </c>
      <c r="H38" s="2">
        <v>58974.98</v>
      </c>
      <c r="I38" t="b">
        <v>1</v>
      </c>
      <c r="J38" s="1">
        <v>45518</v>
      </c>
      <c r="K38" s="3">
        <v>19.332999999999998</v>
      </c>
      <c r="L38" s="3">
        <v>88.75</v>
      </c>
    </row>
    <row r="39" spans="1:12" x14ac:dyDescent="0.25">
      <c r="A39" t="s">
        <v>219</v>
      </c>
      <c r="B39" t="s">
        <v>220</v>
      </c>
      <c r="C39" t="s">
        <v>820</v>
      </c>
      <c r="D39" s="4">
        <v>5768</v>
      </c>
      <c r="E39" t="s">
        <v>221</v>
      </c>
      <c r="F39" t="s">
        <v>61</v>
      </c>
      <c r="G39">
        <v>205</v>
      </c>
      <c r="H39" s="2">
        <v>21370.29</v>
      </c>
      <c r="I39" t="b">
        <v>0</v>
      </c>
      <c r="J39" s="1">
        <v>44706</v>
      </c>
      <c r="K39" s="3">
        <v>3.5430000000000001</v>
      </c>
      <c r="L39" s="3">
        <v>98.8</v>
      </c>
    </row>
    <row r="40" spans="1:12" x14ac:dyDescent="0.25">
      <c r="A40" t="s">
        <v>222</v>
      </c>
      <c r="B40" t="s">
        <v>223</v>
      </c>
      <c r="C40" t="s">
        <v>224</v>
      </c>
      <c r="D40" s="4">
        <v>259606</v>
      </c>
      <c r="E40" t="s">
        <v>225</v>
      </c>
      <c r="F40" t="s">
        <v>32</v>
      </c>
      <c r="G40">
        <v>45</v>
      </c>
      <c r="H40" s="2">
        <v>76370.97</v>
      </c>
      <c r="I40" t="b">
        <v>1</v>
      </c>
      <c r="J40" s="1">
        <v>44278</v>
      </c>
      <c r="K40" s="3">
        <v>8.4659999999999993</v>
      </c>
      <c r="L40" s="3">
        <v>69.06</v>
      </c>
    </row>
    <row r="41" spans="1:12" x14ac:dyDescent="0.25">
      <c r="A41" t="s">
        <v>226</v>
      </c>
      <c r="B41" t="s">
        <v>227</v>
      </c>
      <c r="C41" t="s">
        <v>821</v>
      </c>
      <c r="D41" s="4">
        <v>31533</v>
      </c>
      <c r="E41" t="s">
        <v>228</v>
      </c>
      <c r="F41" t="s">
        <v>71</v>
      </c>
      <c r="G41">
        <v>147</v>
      </c>
      <c r="H41" s="2">
        <v>5829.39</v>
      </c>
      <c r="I41" t="b">
        <v>0</v>
      </c>
      <c r="J41" s="1">
        <v>44294</v>
      </c>
      <c r="K41" s="3">
        <v>15.334</v>
      </c>
      <c r="L41" s="3">
        <v>86.57</v>
      </c>
    </row>
    <row r="42" spans="1:12" x14ac:dyDescent="0.25">
      <c r="A42" t="s">
        <v>229</v>
      </c>
      <c r="B42" t="s">
        <v>230</v>
      </c>
      <c r="C42" t="s">
        <v>231</v>
      </c>
      <c r="D42" s="4">
        <v>97472</v>
      </c>
      <c r="E42" t="s">
        <v>232</v>
      </c>
      <c r="F42" t="s">
        <v>38</v>
      </c>
      <c r="G42">
        <v>150</v>
      </c>
      <c r="H42" s="2">
        <v>63074.64</v>
      </c>
      <c r="I42" t="b">
        <v>0</v>
      </c>
      <c r="J42" s="1">
        <v>45301</v>
      </c>
      <c r="K42" s="3">
        <v>27.995000000000001</v>
      </c>
      <c r="L42" s="3">
        <v>71.47</v>
      </c>
    </row>
    <row r="43" spans="1:12" x14ac:dyDescent="0.25">
      <c r="A43" t="s">
        <v>233</v>
      </c>
      <c r="B43" t="s">
        <v>234</v>
      </c>
      <c r="C43" t="s">
        <v>235</v>
      </c>
      <c r="D43" s="4">
        <v>857886</v>
      </c>
      <c r="E43" t="s">
        <v>236</v>
      </c>
      <c r="F43" t="s">
        <v>30</v>
      </c>
      <c r="G43">
        <v>390</v>
      </c>
      <c r="H43" s="2">
        <v>22856.21</v>
      </c>
      <c r="I43" t="b">
        <v>0</v>
      </c>
      <c r="J43" s="1">
        <v>44955</v>
      </c>
      <c r="K43" s="3">
        <v>15.449</v>
      </c>
      <c r="L43" s="3">
        <v>88.86</v>
      </c>
    </row>
    <row r="44" spans="1:12" x14ac:dyDescent="0.25">
      <c r="A44" t="s">
        <v>237</v>
      </c>
      <c r="B44" t="s">
        <v>238</v>
      </c>
      <c r="C44" t="s">
        <v>239</v>
      </c>
      <c r="D44" s="4">
        <v>857782</v>
      </c>
      <c r="E44" t="s">
        <v>145</v>
      </c>
      <c r="F44" t="s">
        <v>32</v>
      </c>
      <c r="G44">
        <v>189</v>
      </c>
      <c r="H44" s="2">
        <v>45015.519999999997</v>
      </c>
      <c r="I44" t="b">
        <v>0</v>
      </c>
      <c r="J44" s="1">
        <v>44268</v>
      </c>
      <c r="K44" s="3">
        <v>16.882000000000001</v>
      </c>
      <c r="L44" s="3">
        <v>24.37</v>
      </c>
    </row>
    <row r="45" spans="1:12" x14ac:dyDescent="0.25">
      <c r="A45" t="s">
        <v>240</v>
      </c>
      <c r="B45" t="s">
        <v>241</v>
      </c>
      <c r="C45" t="s">
        <v>242</v>
      </c>
      <c r="D45" s="4">
        <v>104565</v>
      </c>
      <c r="E45" t="s">
        <v>243</v>
      </c>
      <c r="F45" t="s">
        <v>23</v>
      </c>
      <c r="G45">
        <v>25</v>
      </c>
      <c r="H45" s="2">
        <v>56385.51</v>
      </c>
      <c r="I45" t="b">
        <v>0</v>
      </c>
      <c r="J45" s="1">
        <v>45703</v>
      </c>
      <c r="K45" s="3">
        <v>22.77</v>
      </c>
      <c r="L45" s="3">
        <v>41.4</v>
      </c>
    </row>
    <row r="46" spans="1:12" x14ac:dyDescent="0.25">
      <c r="A46" t="s">
        <v>244</v>
      </c>
      <c r="B46" t="s">
        <v>245</v>
      </c>
      <c r="C46" t="s">
        <v>246</v>
      </c>
      <c r="D46" s="4" t="s">
        <v>247</v>
      </c>
      <c r="E46" t="s">
        <v>51</v>
      </c>
      <c r="F46" t="s">
        <v>36</v>
      </c>
      <c r="G46">
        <v>28</v>
      </c>
      <c r="H46" s="2">
        <v>60911.33</v>
      </c>
      <c r="I46" t="b">
        <v>1</v>
      </c>
      <c r="J46" s="1">
        <v>45112</v>
      </c>
      <c r="K46" s="3">
        <v>21.936</v>
      </c>
      <c r="L46" s="3">
        <v>50.92</v>
      </c>
    </row>
    <row r="47" spans="1:12" x14ac:dyDescent="0.25">
      <c r="A47" t="s">
        <v>248</v>
      </c>
      <c r="B47" t="s">
        <v>249</v>
      </c>
      <c r="C47" t="s">
        <v>250</v>
      </c>
      <c r="D47" s="4">
        <v>36613</v>
      </c>
      <c r="E47" t="s">
        <v>251</v>
      </c>
      <c r="F47" t="s">
        <v>15</v>
      </c>
      <c r="G47">
        <v>252</v>
      </c>
      <c r="H47" s="2">
        <v>36485.56</v>
      </c>
      <c r="I47" t="b">
        <v>1</v>
      </c>
      <c r="J47" s="1">
        <v>45199</v>
      </c>
      <c r="K47" s="3">
        <v>13.669</v>
      </c>
      <c r="L47" s="3">
        <v>22.16</v>
      </c>
    </row>
    <row r="48" spans="1:12" x14ac:dyDescent="0.25">
      <c r="A48" t="s">
        <v>252</v>
      </c>
      <c r="B48" t="s">
        <v>253</v>
      </c>
      <c r="C48" t="s">
        <v>254</v>
      </c>
      <c r="D48" s="4">
        <v>657562</v>
      </c>
      <c r="E48" t="s">
        <v>255</v>
      </c>
      <c r="F48" t="s">
        <v>64</v>
      </c>
      <c r="G48">
        <v>190</v>
      </c>
      <c r="H48" s="2">
        <v>35618.050000000003</v>
      </c>
      <c r="I48" t="b">
        <v>0</v>
      </c>
      <c r="J48" s="1">
        <v>44096</v>
      </c>
      <c r="K48" s="3">
        <v>19.963000000000001</v>
      </c>
      <c r="L48" s="3">
        <v>37.49</v>
      </c>
    </row>
    <row r="49" spans="1:12" x14ac:dyDescent="0.25">
      <c r="A49" t="s">
        <v>256</v>
      </c>
      <c r="B49" t="s">
        <v>257</v>
      </c>
      <c r="C49" t="s">
        <v>258</v>
      </c>
      <c r="D49" s="4" t="s">
        <v>259</v>
      </c>
      <c r="E49" t="s">
        <v>260</v>
      </c>
      <c r="F49" t="s">
        <v>22</v>
      </c>
      <c r="G49">
        <v>439</v>
      </c>
      <c r="H49" s="2">
        <v>13864.85</v>
      </c>
      <c r="I49" t="b">
        <v>0</v>
      </c>
      <c r="J49" s="1">
        <v>44084</v>
      </c>
      <c r="K49" s="3">
        <v>11.923</v>
      </c>
      <c r="L49" s="3">
        <v>16.18</v>
      </c>
    </row>
    <row r="50" spans="1:12" x14ac:dyDescent="0.25">
      <c r="A50" t="s">
        <v>261</v>
      </c>
      <c r="B50" t="s">
        <v>262</v>
      </c>
      <c r="C50" t="s">
        <v>263</v>
      </c>
      <c r="D50" s="4" t="s">
        <v>264</v>
      </c>
      <c r="E50" t="s">
        <v>265</v>
      </c>
      <c r="F50" t="s">
        <v>30</v>
      </c>
      <c r="G50">
        <v>201</v>
      </c>
      <c r="H50" s="2">
        <v>78907.14</v>
      </c>
      <c r="I50" t="b">
        <v>0</v>
      </c>
      <c r="J50" s="1">
        <v>45492</v>
      </c>
      <c r="K50" s="3">
        <v>9.7149999999999999</v>
      </c>
      <c r="L50" s="3">
        <v>72.459999999999994</v>
      </c>
    </row>
    <row r="51" spans="1:12" x14ac:dyDescent="0.25">
      <c r="A51" t="s">
        <v>266</v>
      </c>
      <c r="B51" t="s">
        <v>267</v>
      </c>
      <c r="C51" t="s">
        <v>268</v>
      </c>
      <c r="D51" s="4">
        <v>249915</v>
      </c>
      <c r="E51" t="s">
        <v>269</v>
      </c>
      <c r="F51" t="s">
        <v>32</v>
      </c>
      <c r="G51">
        <v>457</v>
      </c>
      <c r="H51" s="2">
        <v>10271.66</v>
      </c>
      <c r="I51" t="b">
        <v>0</v>
      </c>
      <c r="J51" s="1">
        <v>45269</v>
      </c>
      <c r="K51" s="3">
        <v>29.754999999999999</v>
      </c>
      <c r="L51" s="3">
        <v>82.02</v>
      </c>
    </row>
    <row r="52" spans="1:12" x14ac:dyDescent="0.25">
      <c r="A52" t="s">
        <v>270</v>
      </c>
      <c r="B52" t="s">
        <v>271</v>
      </c>
      <c r="C52" t="s">
        <v>272</v>
      </c>
      <c r="D52" s="4">
        <v>24063</v>
      </c>
      <c r="E52" t="s">
        <v>273</v>
      </c>
      <c r="F52" t="s">
        <v>36</v>
      </c>
      <c r="G52">
        <v>483</v>
      </c>
      <c r="H52" s="2">
        <v>71549.95</v>
      </c>
      <c r="I52" t="b">
        <v>1</v>
      </c>
      <c r="J52" s="1">
        <v>44226</v>
      </c>
      <c r="K52" s="3">
        <v>1.399</v>
      </c>
      <c r="L52" s="3">
        <v>94.88</v>
      </c>
    </row>
    <row r="53" spans="1:12" x14ac:dyDescent="0.25">
      <c r="A53" t="s">
        <v>274</v>
      </c>
      <c r="B53" t="s">
        <v>275</v>
      </c>
      <c r="C53" t="s">
        <v>276</v>
      </c>
      <c r="D53" s="4" t="s">
        <v>277</v>
      </c>
      <c r="E53" t="s">
        <v>52</v>
      </c>
      <c r="F53" t="s">
        <v>13</v>
      </c>
      <c r="G53">
        <v>346</v>
      </c>
      <c r="H53" s="2">
        <v>36841.01</v>
      </c>
      <c r="I53" t="b">
        <v>0</v>
      </c>
      <c r="J53" s="1">
        <v>44441</v>
      </c>
      <c r="K53" s="3">
        <v>8.5239999999999991</v>
      </c>
      <c r="L53" s="3">
        <v>8.48</v>
      </c>
    </row>
    <row r="54" spans="1:12" x14ac:dyDescent="0.25">
      <c r="A54" t="s">
        <v>278</v>
      </c>
      <c r="B54" t="s">
        <v>279</v>
      </c>
      <c r="C54" t="s">
        <v>280</v>
      </c>
      <c r="D54" s="4">
        <v>6428</v>
      </c>
      <c r="E54" t="s">
        <v>281</v>
      </c>
      <c r="F54" t="s">
        <v>37</v>
      </c>
      <c r="G54">
        <v>71</v>
      </c>
      <c r="H54" s="2">
        <v>17679.95</v>
      </c>
      <c r="I54" t="b">
        <v>1</v>
      </c>
      <c r="J54" s="1">
        <v>44387</v>
      </c>
      <c r="K54" s="3">
        <v>19.803999999999998</v>
      </c>
      <c r="L54" s="3">
        <v>83.58</v>
      </c>
    </row>
    <row r="55" spans="1:12" x14ac:dyDescent="0.25">
      <c r="A55" t="s">
        <v>282</v>
      </c>
      <c r="B55" t="s">
        <v>283</v>
      </c>
      <c r="C55" t="s">
        <v>284</v>
      </c>
      <c r="D55" s="4" t="s">
        <v>285</v>
      </c>
      <c r="E55" t="s">
        <v>68</v>
      </c>
      <c r="F55" t="s">
        <v>3</v>
      </c>
      <c r="G55">
        <v>350</v>
      </c>
      <c r="H55" s="2">
        <v>4254.01</v>
      </c>
      <c r="I55" t="b">
        <v>0</v>
      </c>
      <c r="J55" s="1">
        <v>44494</v>
      </c>
      <c r="K55" s="3">
        <v>9.1389999999999993</v>
      </c>
      <c r="L55" s="3">
        <v>42.5</v>
      </c>
    </row>
    <row r="56" spans="1:12" x14ac:dyDescent="0.25">
      <c r="A56" t="s">
        <v>286</v>
      </c>
      <c r="B56" t="s">
        <v>287</v>
      </c>
      <c r="C56" t="s">
        <v>288</v>
      </c>
      <c r="D56" s="4">
        <v>918774</v>
      </c>
      <c r="E56" t="s">
        <v>289</v>
      </c>
      <c r="F56" t="s">
        <v>40</v>
      </c>
      <c r="G56">
        <v>109</v>
      </c>
      <c r="H56" s="2">
        <v>768.33</v>
      </c>
      <c r="I56" t="b">
        <v>0</v>
      </c>
      <c r="J56" s="1">
        <v>45484</v>
      </c>
      <c r="K56" s="3">
        <v>17.556999999999999</v>
      </c>
      <c r="L56" s="3">
        <v>84.75</v>
      </c>
    </row>
    <row r="57" spans="1:12" x14ac:dyDescent="0.25">
      <c r="A57" t="s">
        <v>290</v>
      </c>
      <c r="B57" t="s">
        <v>291</v>
      </c>
      <c r="C57" t="s">
        <v>822</v>
      </c>
      <c r="D57" s="4" t="s">
        <v>292</v>
      </c>
      <c r="E57" t="s">
        <v>52</v>
      </c>
      <c r="F57" t="s">
        <v>16</v>
      </c>
      <c r="G57">
        <v>194</v>
      </c>
      <c r="H57" s="2">
        <v>6435.32</v>
      </c>
      <c r="I57" t="b">
        <v>1</v>
      </c>
      <c r="J57" s="1">
        <v>45751</v>
      </c>
      <c r="K57" s="3">
        <v>14.089</v>
      </c>
      <c r="L57" s="3">
        <v>86.28</v>
      </c>
    </row>
    <row r="58" spans="1:12" x14ac:dyDescent="0.25">
      <c r="A58" t="s">
        <v>293</v>
      </c>
      <c r="B58" t="s">
        <v>294</v>
      </c>
      <c r="C58" t="s">
        <v>295</v>
      </c>
      <c r="D58" s="4">
        <v>456222</v>
      </c>
      <c r="E58" t="s">
        <v>296</v>
      </c>
      <c r="F58" t="s">
        <v>5</v>
      </c>
      <c r="G58">
        <v>417</v>
      </c>
      <c r="H58" s="2">
        <v>88525.6</v>
      </c>
      <c r="I58" t="b">
        <v>0</v>
      </c>
      <c r="J58" s="1">
        <v>44415</v>
      </c>
      <c r="K58" s="3">
        <v>5.1970000000000001</v>
      </c>
      <c r="L58" s="3">
        <v>11.57</v>
      </c>
    </row>
    <row r="59" spans="1:12" x14ac:dyDescent="0.25">
      <c r="A59" t="s">
        <v>297</v>
      </c>
      <c r="B59" t="s">
        <v>298</v>
      </c>
      <c r="C59" t="s">
        <v>299</v>
      </c>
      <c r="D59" s="4">
        <v>161590</v>
      </c>
      <c r="E59" t="s">
        <v>132</v>
      </c>
      <c r="F59" t="s">
        <v>64</v>
      </c>
      <c r="G59">
        <v>16</v>
      </c>
      <c r="H59" s="2">
        <v>58381.49</v>
      </c>
      <c r="I59" t="b">
        <v>0</v>
      </c>
      <c r="J59" s="1">
        <v>45212</v>
      </c>
      <c r="K59" s="3">
        <v>11.102</v>
      </c>
      <c r="L59" s="3">
        <v>5.63</v>
      </c>
    </row>
    <row r="60" spans="1:12" x14ac:dyDescent="0.25">
      <c r="A60" t="s">
        <v>300</v>
      </c>
      <c r="B60" t="s">
        <v>301</v>
      </c>
      <c r="C60" t="s">
        <v>302</v>
      </c>
      <c r="D60" s="4" t="s">
        <v>303</v>
      </c>
      <c r="E60" t="s">
        <v>56</v>
      </c>
      <c r="F60" t="s">
        <v>34</v>
      </c>
      <c r="G60">
        <v>74</v>
      </c>
      <c r="H60" s="2">
        <v>571.11</v>
      </c>
      <c r="I60" t="b">
        <v>1</v>
      </c>
      <c r="J60" s="1">
        <v>44528</v>
      </c>
      <c r="K60" s="3">
        <v>25.861999999999998</v>
      </c>
      <c r="L60" s="3">
        <v>28.92</v>
      </c>
    </row>
    <row r="61" spans="1:12" x14ac:dyDescent="0.25">
      <c r="A61" t="s">
        <v>304</v>
      </c>
      <c r="B61" t="s">
        <v>305</v>
      </c>
      <c r="C61" t="s">
        <v>306</v>
      </c>
      <c r="D61" s="4">
        <v>6061</v>
      </c>
      <c r="E61" t="s">
        <v>307</v>
      </c>
      <c r="F61" t="s">
        <v>3</v>
      </c>
      <c r="G61">
        <v>370</v>
      </c>
      <c r="H61" s="2">
        <v>47311.15</v>
      </c>
      <c r="I61" t="b">
        <v>0</v>
      </c>
      <c r="J61" s="1">
        <v>44588</v>
      </c>
      <c r="K61" s="3">
        <v>9.6430000000000007</v>
      </c>
      <c r="L61" s="3">
        <v>4.13</v>
      </c>
    </row>
    <row r="62" spans="1:12" x14ac:dyDescent="0.25">
      <c r="A62" t="s">
        <v>308</v>
      </c>
      <c r="B62" t="s">
        <v>309</v>
      </c>
      <c r="C62" t="s">
        <v>310</v>
      </c>
      <c r="D62" s="4">
        <v>421323</v>
      </c>
      <c r="E62" t="s">
        <v>311</v>
      </c>
      <c r="F62" t="s">
        <v>64</v>
      </c>
      <c r="G62">
        <v>303</v>
      </c>
      <c r="H62" s="2">
        <v>6333.53</v>
      </c>
      <c r="I62" t="b">
        <v>1</v>
      </c>
      <c r="J62" s="1">
        <v>44663</v>
      </c>
      <c r="K62" s="3">
        <v>22.885999999999999</v>
      </c>
      <c r="L62" s="3">
        <v>12.92</v>
      </c>
    </row>
    <row r="63" spans="1:12" x14ac:dyDescent="0.25">
      <c r="A63" t="s">
        <v>312</v>
      </c>
      <c r="B63" t="s">
        <v>313</v>
      </c>
      <c r="C63" t="s">
        <v>314</v>
      </c>
      <c r="D63" s="4">
        <v>31152</v>
      </c>
      <c r="E63" t="s">
        <v>315</v>
      </c>
      <c r="F63" t="s">
        <v>38</v>
      </c>
      <c r="G63">
        <v>76</v>
      </c>
      <c r="H63" s="2">
        <v>53087.93</v>
      </c>
      <c r="I63" t="b">
        <v>1</v>
      </c>
      <c r="J63" s="1">
        <v>44105</v>
      </c>
      <c r="K63" s="3">
        <v>21.645</v>
      </c>
      <c r="L63" s="3">
        <v>12.08</v>
      </c>
    </row>
    <row r="64" spans="1:12" x14ac:dyDescent="0.25">
      <c r="A64" t="s">
        <v>316</v>
      </c>
      <c r="B64" t="s">
        <v>317</v>
      </c>
      <c r="C64" t="s">
        <v>318</v>
      </c>
      <c r="D64" s="4">
        <v>805</v>
      </c>
      <c r="E64" t="s">
        <v>10</v>
      </c>
      <c r="F64" t="s">
        <v>34</v>
      </c>
      <c r="G64">
        <v>287</v>
      </c>
      <c r="H64" s="2">
        <v>27306.95</v>
      </c>
      <c r="I64" t="b">
        <v>1</v>
      </c>
      <c r="J64" s="1">
        <v>44116</v>
      </c>
      <c r="K64" s="3">
        <v>20.023</v>
      </c>
      <c r="L64" s="3">
        <v>70.14</v>
      </c>
    </row>
    <row r="65" spans="1:12" x14ac:dyDescent="0.25">
      <c r="A65" t="s">
        <v>319</v>
      </c>
      <c r="B65" t="s">
        <v>320</v>
      </c>
      <c r="C65" t="s">
        <v>321</v>
      </c>
      <c r="D65" s="4" t="s">
        <v>322</v>
      </c>
      <c r="E65" t="s">
        <v>323</v>
      </c>
      <c r="F65" t="s">
        <v>13</v>
      </c>
      <c r="G65">
        <v>9</v>
      </c>
      <c r="H65" s="2">
        <v>61803.49</v>
      </c>
      <c r="I65" t="b">
        <v>0</v>
      </c>
      <c r="J65" s="1">
        <v>44825</v>
      </c>
      <c r="K65" s="3">
        <v>21.710999999999999</v>
      </c>
      <c r="L65" s="3">
        <v>29.04</v>
      </c>
    </row>
    <row r="66" spans="1:12" x14ac:dyDescent="0.25">
      <c r="A66" t="s">
        <v>324</v>
      </c>
      <c r="B66" t="s">
        <v>325</v>
      </c>
      <c r="C66" t="s">
        <v>326</v>
      </c>
      <c r="D66" s="4">
        <v>864294</v>
      </c>
      <c r="E66" t="s">
        <v>46</v>
      </c>
      <c r="F66" t="s">
        <v>64</v>
      </c>
      <c r="G66">
        <v>427</v>
      </c>
      <c r="H66" s="2">
        <v>718.49</v>
      </c>
      <c r="I66" t="b">
        <v>1</v>
      </c>
      <c r="J66" s="1">
        <v>43938</v>
      </c>
      <c r="K66" s="3">
        <v>26.391999999999999</v>
      </c>
      <c r="L66" s="3">
        <v>3.59</v>
      </c>
    </row>
    <row r="67" spans="1:12" x14ac:dyDescent="0.25">
      <c r="A67" t="s">
        <v>327</v>
      </c>
      <c r="B67" t="s">
        <v>328</v>
      </c>
      <c r="C67" t="s">
        <v>329</v>
      </c>
      <c r="D67" s="4">
        <v>572621</v>
      </c>
      <c r="E67" t="s">
        <v>330</v>
      </c>
      <c r="F67" t="s">
        <v>19</v>
      </c>
      <c r="G67">
        <v>337</v>
      </c>
      <c r="H67" s="2">
        <v>30923.360000000001</v>
      </c>
      <c r="I67" t="b">
        <v>0</v>
      </c>
      <c r="J67" s="1">
        <v>43940</v>
      </c>
      <c r="K67" s="3">
        <v>27.526</v>
      </c>
      <c r="L67" s="3">
        <v>21.4</v>
      </c>
    </row>
    <row r="68" spans="1:12" x14ac:dyDescent="0.25">
      <c r="A68" t="s">
        <v>331</v>
      </c>
      <c r="B68" t="s">
        <v>332</v>
      </c>
      <c r="C68" t="s">
        <v>333</v>
      </c>
      <c r="D68" s="4">
        <v>94599</v>
      </c>
      <c r="E68" t="s">
        <v>334</v>
      </c>
      <c r="F68" t="s">
        <v>36</v>
      </c>
      <c r="G68">
        <v>228</v>
      </c>
      <c r="H68" s="2">
        <v>20402.2</v>
      </c>
      <c r="I68" t="b">
        <v>0</v>
      </c>
      <c r="J68" s="1">
        <v>44072</v>
      </c>
      <c r="K68" s="3">
        <v>24.581</v>
      </c>
      <c r="L68" s="3">
        <v>48.4</v>
      </c>
    </row>
    <row r="69" spans="1:12" x14ac:dyDescent="0.25">
      <c r="A69" t="s">
        <v>335</v>
      </c>
      <c r="B69" t="s">
        <v>336</v>
      </c>
      <c r="C69" t="s">
        <v>337</v>
      </c>
      <c r="D69" s="4" t="s">
        <v>338</v>
      </c>
      <c r="E69" t="s">
        <v>339</v>
      </c>
      <c r="F69" t="s">
        <v>40</v>
      </c>
      <c r="G69">
        <v>453</v>
      </c>
      <c r="H69" s="2">
        <v>16459.38</v>
      </c>
      <c r="I69" t="b">
        <v>1</v>
      </c>
      <c r="J69" s="1">
        <v>45497</v>
      </c>
      <c r="K69" s="3">
        <v>13.278</v>
      </c>
      <c r="L69" s="3">
        <v>47.77</v>
      </c>
    </row>
    <row r="70" spans="1:12" x14ac:dyDescent="0.25">
      <c r="A70" t="s">
        <v>340</v>
      </c>
      <c r="B70" t="s">
        <v>341</v>
      </c>
      <c r="C70" t="s">
        <v>342</v>
      </c>
      <c r="D70" s="4">
        <v>7374</v>
      </c>
      <c r="E70" t="s">
        <v>343</v>
      </c>
      <c r="F70" t="s">
        <v>64</v>
      </c>
      <c r="G70">
        <v>192</v>
      </c>
      <c r="H70" s="2">
        <v>43316.480000000003</v>
      </c>
      <c r="I70" t="b">
        <v>1</v>
      </c>
      <c r="J70" s="1">
        <v>44101</v>
      </c>
      <c r="K70" s="3">
        <v>6.3140000000000001</v>
      </c>
      <c r="L70" s="3">
        <v>15.2</v>
      </c>
    </row>
    <row r="71" spans="1:12" x14ac:dyDescent="0.25">
      <c r="A71" t="s">
        <v>344</v>
      </c>
      <c r="B71" t="s">
        <v>345</v>
      </c>
      <c r="C71" t="s">
        <v>346</v>
      </c>
      <c r="D71" s="4" t="s">
        <v>347</v>
      </c>
      <c r="E71" t="s">
        <v>348</v>
      </c>
      <c r="F71" t="s">
        <v>13</v>
      </c>
      <c r="G71">
        <v>231</v>
      </c>
      <c r="H71" s="2">
        <v>66441.679999999993</v>
      </c>
      <c r="I71" t="b">
        <v>1</v>
      </c>
      <c r="J71" s="1">
        <v>44395</v>
      </c>
      <c r="K71" s="3">
        <v>20.992000000000001</v>
      </c>
      <c r="L71" s="3">
        <v>20.22</v>
      </c>
    </row>
    <row r="72" spans="1:12" x14ac:dyDescent="0.25">
      <c r="A72" t="s">
        <v>349</v>
      </c>
      <c r="B72" t="s">
        <v>350</v>
      </c>
      <c r="C72" t="s">
        <v>351</v>
      </c>
      <c r="D72" s="4">
        <v>2251</v>
      </c>
      <c r="E72" t="s">
        <v>352</v>
      </c>
      <c r="F72" t="s">
        <v>38</v>
      </c>
      <c r="G72">
        <v>22</v>
      </c>
      <c r="H72" s="2">
        <v>35769.71</v>
      </c>
      <c r="I72" t="b">
        <v>0</v>
      </c>
      <c r="J72" s="1">
        <v>44534</v>
      </c>
      <c r="K72" s="3">
        <v>8.3230000000000004</v>
      </c>
      <c r="L72" s="3">
        <v>11.03</v>
      </c>
    </row>
    <row r="73" spans="1:12" x14ac:dyDescent="0.25">
      <c r="A73" t="s">
        <v>353</v>
      </c>
      <c r="B73" t="s">
        <v>354</v>
      </c>
      <c r="C73" t="s">
        <v>355</v>
      </c>
      <c r="D73" s="4">
        <v>16312</v>
      </c>
      <c r="E73" t="s">
        <v>356</v>
      </c>
      <c r="F73" t="s">
        <v>12</v>
      </c>
      <c r="G73">
        <v>251</v>
      </c>
      <c r="H73" s="2">
        <v>41410.54</v>
      </c>
      <c r="I73" t="b">
        <v>0</v>
      </c>
      <c r="J73" s="1">
        <v>45213</v>
      </c>
      <c r="K73" s="3">
        <v>25.843</v>
      </c>
      <c r="L73" s="3">
        <v>61.66</v>
      </c>
    </row>
    <row r="74" spans="1:12" x14ac:dyDescent="0.25">
      <c r="A74" t="s">
        <v>357</v>
      </c>
      <c r="B74" t="s">
        <v>358</v>
      </c>
      <c r="C74" t="s">
        <v>359</v>
      </c>
      <c r="D74" s="4">
        <v>345177</v>
      </c>
      <c r="E74" t="s">
        <v>360</v>
      </c>
      <c r="F74" t="s">
        <v>37</v>
      </c>
      <c r="G74">
        <v>68</v>
      </c>
      <c r="H74" s="2">
        <v>16107.59</v>
      </c>
      <c r="I74" t="b">
        <v>1</v>
      </c>
      <c r="J74" s="1">
        <v>45151</v>
      </c>
      <c r="K74" s="3">
        <v>20.244</v>
      </c>
      <c r="L74" s="3">
        <v>33.51</v>
      </c>
    </row>
    <row r="75" spans="1:12" x14ac:dyDescent="0.25">
      <c r="A75" t="s">
        <v>361</v>
      </c>
      <c r="B75" t="s">
        <v>362</v>
      </c>
      <c r="C75" t="s">
        <v>363</v>
      </c>
      <c r="D75" s="4" t="s">
        <v>364</v>
      </c>
      <c r="E75" t="s">
        <v>365</v>
      </c>
      <c r="F75" t="s">
        <v>7</v>
      </c>
      <c r="G75">
        <v>352</v>
      </c>
      <c r="H75" s="2">
        <v>33525.82</v>
      </c>
      <c r="I75" t="b">
        <v>1</v>
      </c>
      <c r="J75" s="1">
        <v>44495</v>
      </c>
      <c r="K75" s="3">
        <v>4.5819999999999999</v>
      </c>
      <c r="L75" s="3">
        <v>86.81</v>
      </c>
    </row>
    <row r="76" spans="1:12" x14ac:dyDescent="0.25">
      <c r="A76" t="s">
        <v>366</v>
      </c>
      <c r="B76" t="s">
        <v>367</v>
      </c>
      <c r="C76" t="s">
        <v>368</v>
      </c>
      <c r="D76" s="4" t="s">
        <v>369</v>
      </c>
      <c r="E76" t="s">
        <v>370</v>
      </c>
      <c r="F76" t="s">
        <v>37</v>
      </c>
      <c r="G76">
        <v>62</v>
      </c>
      <c r="H76" s="2">
        <v>25016.46</v>
      </c>
      <c r="I76" t="b">
        <v>0</v>
      </c>
      <c r="J76" s="1">
        <v>45335</v>
      </c>
      <c r="K76" s="3">
        <v>14.718</v>
      </c>
      <c r="L76" s="3">
        <v>59.25</v>
      </c>
    </row>
    <row r="77" spans="1:12" x14ac:dyDescent="0.25">
      <c r="A77" t="s">
        <v>371</v>
      </c>
      <c r="B77" t="s">
        <v>372</v>
      </c>
      <c r="C77" t="s">
        <v>373</v>
      </c>
      <c r="D77" s="4" t="s">
        <v>374</v>
      </c>
      <c r="E77" t="s">
        <v>58</v>
      </c>
      <c r="F77" t="s">
        <v>18</v>
      </c>
      <c r="G77">
        <v>435</v>
      </c>
      <c r="H77" s="2">
        <v>50879.73</v>
      </c>
      <c r="I77" t="b">
        <v>0</v>
      </c>
      <c r="J77" s="1">
        <v>44016</v>
      </c>
      <c r="K77" s="3">
        <v>23.318999999999999</v>
      </c>
      <c r="L77" s="3">
        <v>19.48</v>
      </c>
    </row>
    <row r="78" spans="1:12" x14ac:dyDescent="0.25">
      <c r="A78" t="s">
        <v>375</v>
      </c>
      <c r="B78" t="s">
        <v>376</v>
      </c>
      <c r="C78" t="s">
        <v>377</v>
      </c>
      <c r="D78" s="4" t="s">
        <v>378</v>
      </c>
      <c r="E78" t="s">
        <v>379</v>
      </c>
      <c r="F78" t="s">
        <v>33</v>
      </c>
      <c r="G78">
        <v>446</v>
      </c>
      <c r="H78" s="2">
        <v>84391</v>
      </c>
      <c r="I78" t="b">
        <v>0</v>
      </c>
      <c r="J78" s="1">
        <v>44878</v>
      </c>
      <c r="K78" s="3">
        <v>18.863</v>
      </c>
      <c r="L78" s="3">
        <v>43.9</v>
      </c>
    </row>
    <row r="79" spans="1:12" x14ac:dyDescent="0.25">
      <c r="A79" t="s">
        <v>380</v>
      </c>
      <c r="B79" t="s">
        <v>381</v>
      </c>
      <c r="C79" t="s">
        <v>382</v>
      </c>
      <c r="D79" s="4">
        <v>36744</v>
      </c>
      <c r="E79" t="s">
        <v>383</v>
      </c>
      <c r="F79" t="s">
        <v>2</v>
      </c>
      <c r="G79">
        <v>172</v>
      </c>
      <c r="H79" s="2">
        <v>82849.77</v>
      </c>
      <c r="I79" t="b">
        <v>0</v>
      </c>
      <c r="J79" s="1">
        <v>45142</v>
      </c>
      <c r="K79" s="3">
        <v>20.358000000000001</v>
      </c>
      <c r="L79" s="3">
        <v>43.78</v>
      </c>
    </row>
    <row r="80" spans="1:12" x14ac:dyDescent="0.25">
      <c r="A80" t="s">
        <v>384</v>
      </c>
      <c r="B80" t="s">
        <v>385</v>
      </c>
      <c r="C80" t="s">
        <v>386</v>
      </c>
      <c r="D80" s="4">
        <v>7893</v>
      </c>
      <c r="E80" t="s">
        <v>387</v>
      </c>
      <c r="F80" t="s">
        <v>33</v>
      </c>
      <c r="G80">
        <v>197</v>
      </c>
      <c r="H80" s="2">
        <v>48371.360000000001</v>
      </c>
      <c r="I80" t="b">
        <v>0</v>
      </c>
      <c r="J80" s="1">
        <v>45054</v>
      </c>
      <c r="K80" s="3">
        <v>16.771000000000001</v>
      </c>
      <c r="L80" s="3">
        <v>0.16</v>
      </c>
    </row>
    <row r="81" spans="1:12" x14ac:dyDescent="0.25">
      <c r="A81" t="s">
        <v>388</v>
      </c>
      <c r="B81" t="s">
        <v>389</v>
      </c>
      <c r="C81" t="s">
        <v>390</v>
      </c>
      <c r="D81" s="4">
        <v>275243</v>
      </c>
      <c r="E81" t="s">
        <v>307</v>
      </c>
      <c r="F81" t="s">
        <v>64</v>
      </c>
      <c r="G81">
        <v>432</v>
      </c>
      <c r="H81" s="2">
        <v>25079.8</v>
      </c>
      <c r="I81" t="b">
        <v>0</v>
      </c>
      <c r="J81" s="1">
        <v>44407</v>
      </c>
      <c r="K81" s="3">
        <v>1.4470000000000001</v>
      </c>
      <c r="L81" s="3">
        <v>8.19</v>
      </c>
    </row>
    <row r="82" spans="1:12" x14ac:dyDescent="0.25">
      <c r="A82" t="s">
        <v>391</v>
      </c>
      <c r="B82" t="s">
        <v>392</v>
      </c>
      <c r="C82" t="s">
        <v>393</v>
      </c>
      <c r="D82" s="4" t="s">
        <v>394</v>
      </c>
      <c r="E82" t="s">
        <v>251</v>
      </c>
      <c r="F82" t="s">
        <v>48</v>
      </c>
      <c r="G82">
        <v>439</v>
      </c>
      <c r="H82" s="2">
        <v>79446.820000000007</v>
      </c>
      <c r="I82" t="b">
        <v>1</v>
      </c>
      <c r="J82" s="1">
        <v>45363</v>
      </c>
      <c r="K82" s="3">
        <v>23.247</v>
      </c>
      <c r="L82" s="3">
        <v>33.53</v>
      </c>
    </row>
    <row r="83" spans="1:12" x14ac:dyDescent="0.25">
      <c r="A83" t="s">
        <v>395</v>
      </c>
      <c r="B83" t="s">
        <v>396</v>
      </c>
      <c r="C83" t="s">
        <v>823</v>
      </c>
      <c r="D83" s="4" t="s">
        <v>397</v>
      </c>
      <c r="E83" t="s">
        <v>10</v>
      </c>
      <c r="F83" t="s">
        <v>12</v>
      </c>
      <c r="G83">
        <v>216</v>
      </c>
      <c r="H83" s="2">
        <v>66175.759999999995</v>
      </c>
      <c r="I83" t="b">
        <v>0</v>
      </c>
      <c r="J83" s="1">
        <v>44760</v>
      </c>
      <c r="K83" s="3">
        <v>5.4219999999999997</v>
      </c>
      <c r="L83" s="3">
        <v>34.630000000000003</v>
      </c>
    </row>
    <row r="84" spans="1:12" x14ac:dyDescent="0.25">
      <c r="A84" t="s">
        <v>398</v>
      </c>
      <c r="B84" t="s">
        <v>399</v>
      </c>
      <c r="C84" t="s">
        <v>400</v>
      </c>
      <c r="D84" s="4">
        <v>66827</v>
      </c>
      <c r="E84" t="s">
        <v>401</v>
      </c>
      <c r="F84" t="s">
        <v>71</v>
      </c>
      <c r="G84">
        <v>363</v>
      </c>
      <c r="H84" s="2">
        <v>46521.04</v>
      </c>
      <c r="I84" t="b">
        <v>1</v>
      </c>
      <c r="J84" s="1">
        <v>45163</v>
      </c>
      <c r="K84" s="3">
        <v>7.1680000000000001</v>
      </c>
      <c r="L84" s="3">
        <v>78.78</v>
      </c>
    </row>
    <row r="85" spans="1:12" x14ac:dyDescent="0.25">
      <c r="A85" t="s">
        <v>402</v>
      </c>
      <c r="B85" t="s">
        <v>403</v>
      </c>
      <c r="C85" t="s">
        <v>404</v>
      </c>
      <c r="D85" s="4">
        <v>367861</v>
      </c>
      <c r="E85" t="s">
        <v>405</v>
      </c>
      <c r="F85" t="s">
        <v>19</v>
      </c>
      <c r="G85">
        <v>171</v>
      </c>
      <c r="H85" s="2">
        <v>61368.98</v>
      </c>
      <c r="I85" t="b">
        <v>0</v>
      </c>
      <c r="J85" s="1">
        <v>44139</v>
      </c>
      <c r="K85" s="3">
        <v>19.649999999999999</v>
      </c>
      <c r="L85" s="3">
        <v>46.41</v>
      </c>
    </row>
    <row r="86" spans="1:12" x14ac:dyDescent="0.25">
      <c r="A86" t="s">
        <v>406</v>
      </c>
      <c r="B86" t="s">
        <v>407</v>
      </c>
      <c r="C86" t="s">
        <v>408</v>
      </c>
      <c r="D86" s="4" t="s">
        <v>409</v>
      </c>
      <c r="E86" t="s">
        <v>410</v>
      </c>
      <c r="F86" t="s">
        <v>30</v>
      </c>
      <c r="G86">
        <v>102</v>
      </c>
      <c r="H86" s="2">
        <v>26128.86</v>
      </c>
      <c r="I86" t="b">
        <v>1</v>
      </c>
      <c r="J86" s="1">
        <v>44136</v>
      </c>
      <c r="K86" s="3">
        <v>7.3310000000000004</v>
      </c>
      <c r="L86" s="3">
        <v>12.09</v>
      </c>
    </row>
    <row r="87" spans="1:12" x14ac:dyDescent="0.25">
      <c r="A87" t="s">
        <v>411</v>
      </c>
      <c r="B87" t="s">
        <v>412</v>
      </c>
      <c r="C87" t="s">
        <v>413</v>
      </c>
      <c r="D87" s="4">
        <v>462506</v>
      </c>
      <c r="E87" t="s">
        <v>414</v>
      </c>
      <c r="F87" t="s">
        <v>66</v>
      </c>
      <c r="G87">
        <v>129</v>
      </c>
      <c r="H87" s="2">
        <v>336.68</v>
      </c>
      <c r="I87" t="b">
        <v>1</v>
      </c>
      <c r="J87" s="1">
        <v>45163</v>
      </c>
      <c r="K87" s="3">
        <v>21.768000000000001</v>
      </c>
      <c r="L87" s="3">
        <v>26.04</v>
      </c>
    </row>
    <row r="88" spans="1:12" x14ac:dyDescent="0.25">
      <c r="A88" t="s">
        <v>415</v>
      </c>
      <c r="B88" t="s">
        <v>416</v>
      </c>
      <c r="C88" t="s">
        <v>824</v>
      </c>
      <c r="D88" s="4">
        <v>4498</v>
      </c>
      <c r="E88" t="s">
        <v>236</v>
      </c>
      <c r="F88" t="s">
        <v>61</v>
      </c>
      <c r="G88">
        <v>492</v>
      </c>
      <c r="H88" s="2">
        <v>82707.17</v>
      </c>
      <c r="I88" t="b">
        <v>0</v>
      </c>
      <c r="J88" s="1">
        <v>44754</v>
      </c>
      <c r="K88" s="3">
        <v>22.739000000000001</v>
      </c>
      <c r="L88" s="3">
        <v>18.14</v>
      </c>
    </row>
    <row r="89" spans="1:12" x14ac:dyDescent="0.25">
      <c r="A89" t="s">
        <v>417</v>
      </c>
      <c r="B89" t="s">
        <v>418</v>
      </c>
      <c r="C89" t="s">
        <v>419</v>
      </c>
      <c r="D89" s="4" t="s">
        <v>420</v>
      </c>
      <c r="E89" t="s">
        <v>421</v>
      </c>
      <c r="F89" t="s">
        <v>22</v>
      </c>
      <c r="G89">
        <v>110</v>
      </c>
      <c r="H89" s="2">
        <v>33296.620000000003</v>
      </c>
      <c r="I89" t="b">
        <v>1</v>
      </c>
      <c r="J89" s="1">
        <v>44986</v>
      </c>
      <c r="K89" s="3">
        <v>13.492000000000001</v>
      </c>
      <c r="L89" s="3">
        <v>59.12</v>
      </c>
    </row>
    <row r="90" spans="1:12" x14ac:dyDescent="0.25">
      <c r="A90" t="s">
        <v>422</v>
      </c>
      <c r="B90" t="s">
        <v>423</v>
      </c>
      <c r="C90" t="s">
        <v>424</v>
      </c>
      <c r="D90" s="4">
        <v>33461</v>
      </c>
      <c r="E90" t="s">
        <v>425</v>
      </c>
      <c r="F90" t="s">
        <v>37</v>
      </c>
      <c r="G90">
        <v>354</v>
      </c>
      <c r="H90" s="2">
        <v>82311.7</v>
      </c>
      <c r="I90" t="b">
        <v>0</v>
      </c>
      <c r="J90" s="1">
        <v>44532</v>
      </c>
      <c r="K90" s="3">
        <v>13.744</v>
      </c>
      <c r="L90" s="3">
        <v>55.66</v>
      </c>
    </row>
    <row r="91" spans="1:12" x14ac:dyDescent="0.25">
      <c r="A91" t="s">
        <v>426</v>
      </c>
      <c r="B91" t="s">
        <v>427</v>
      </c>
      <c r="C91" t="s">
        <v>428</v>
      </c>
      <c r="D91" s="4">
        <v>10212</v>
      </c>
      <c r="E91" t="s">
        <v>429</v>
      </c>
      <c r="F91" t="s">
        <v>22</v>
      </c>
      <c r="G91">
        <v>239</v>
      </c>
      <c r="H91" s="2">
        <v>32464.2</v>
      </c>
      <c r="I91" t="b">
        <v>0</v>
      </c>
      <c r="J91" s="1">
        <v>45467</v>
      </c>
      <c r="K91" s="3">
        <v>26.815999999999999</v>
      </c>
      <c r="L91" s="3">
        <v>38.64</v>
      </c>
    </row>
    <row r="92" spans="1:12" x14ac:dyDescent="0.25">
      <c r="A92" t="s">
        <v>430</v>
      </c>
      <c r="B92" t="s">
        <v>431</v>
      </c>
      <c r="C92" t="s">
        <v>432</v>
      </c>
      <c r="D92" s="4">
        <v>50554</v>
      </c>
      <c r="E92" t="s">
        <v>433</v>
      </c>
      <c r="F92" t="s">
        <v>33</v>
      </c>
      <c r="G92">
        <v>293</v>
      </c>
      <c r="H92" s="2">
        <v>10628.5</v>
      </c>
      <c r="I92" t="b">
        <v>1</v>
      </c>
      <c r="J92" s="1">
        <v>45104</v>
      </c>
      <c r="K92" s="3">
        <v>593</v>
      </c>
      <c r="L92" s="3">
        <v>22.94</v>
      </c>
    </row>
    <row r="93" spans="1:12" x14ac:dyDescent="0.25">
      <c r="A93" t="s">
        <v>434</v>
      </c>
      <c r="B93" t="s">
        <v>435</v>
      </c>
      <c r="C93" t="s">
        <v>436</v>
      </c>
      <c r="D93" s="4">
        <v>951658</v>
      </c>
      <c r="E93" t="s">
        <v>437</v>
      </c>
      <c r="F93" t="s">
        <v>9</v>
      </c>
      <c r="G93">
        <v>195</v>
      </c>
      <c r="H93" s="2">
        <v>66029.7</v>
      </c>
      <c r="I93" t="b">
        <v>0</v>
      </c>
      <c r="J93" s="1">
        <v>45211</v>
      </c>
      <c r="K93" s="3">
        <v>22.097999999999999</v>
      </c>
      <c r="L93" s="3">
        <v>28.16</v>
      </c>
    </row>
    <row r="94" spans="1:12" x14ac:dyDescent="0.25">
      <c r="A94" t="s">
        <v>438</v>
      </c>
      <c r="B94" t="s">
        <v>439</v>
      </c>
      <c r="C94" t="s">
        <v>440</v>
      </c>
      <c r="D94" s="4">
        <v>6157</v>
      </c>
      <c r="E94" t="s">
        <v>106</v>
      </c>
      <c r="F94" t="s">
        <v>18</v>
      </c>
      <c r="G94">
        <v>427</v>
      </c>
      <c r="H94" s="2">
        <v>26883.82</v>
      </c>
      <c r="I94" t="b">
        <v>1</v>
      </c>
      <c r="J94" s="1">
        <v>43967</v>
      </c>
      <c r="K94" s="3">
        <v>17.108000000000001</v>
      </c>
      <c r="L94" s="3">
        <v>15.93</v>
      </c>
    </row>
    <row r="95" spans="1:12" x14ac:dyDescent="0.25">
      <c r="A95" t="s">
        <v>441</v>
      </c>
      <c r="B95" t="s">
        <v>442</v>
      </c>
      <c r="C95" t="s">
        <v>443</v>
      </c>
      <c r="D95" s="4">
        <v>105817</v>
      </c>
      <c r="E95" t="s">
        <v>444</v>
      </c>
      <c r="F95" t="s">
        <v>15</v>
      </c>
      <c r="G95">
        <v>397</v>
      </c>
      <c r="H95" s="2">
        <v>21539.16</v>
      </c>
      <c r="I95" t="b">
        <v>0</v>
      </c>
      <c r="J95" s="1">
        <v>44225</v>
      </c>
      <c r="K95" s="3">
        <v>7.8239999999999998</v>
      </c>
      <c r="L95" s="3">
        <v>58.12</v>
      </c>
    </row>
    <row r="96" spans="1:12" x14ac:dyDescent="0.25">
      <c r="A96" t="s">
        <v>445</v>
      </c>
      <c r="B96" t="s">
        <v>446</v>
      </c>
      <c r="C96" t="s">
        <v>447</v>
      </c>
      <c r="D96" s="4">
        <v>7168</v>
      </c>
      <c r="E96" t="s">
        <v>405</v>
      </c>
      <c r="F96" t="s">
        <v>2</v>
      </c>
      <c r="G96">
        <v>137</v>
      </c>
      <c r="H96" s="2">
        <v>13893.18</v>
      </c>
      <c r="I96" t="b">
        <v>1</v>
      </c>
      <c r="J96" s="1">
        <v>45240</v>
      </c>
      <c r="K96" s="3">
        <v>7.6109999999999998</v>
      </c>
      <c r="L96" s="3">
        <v>32.79</v>
      </c>
    </row>
    <row r="97" spans="1:12" x14ac:dyDescent="0.25">
      <c r="A97" t="s">
        <v>448</v>
      </c>
      <c r="B97" t="s">
        <v>449</v>
      </c>
      <c r="C97" t="s">
        <v>450</v>
      </c>
      <c r="D97" s="4">
        <v>2573</v>
      </c>
      <c r="E97" t="s">
        <v>451</v>
      </c>
      <c r="F97" t="s">
        <v>18</v>
      </c>
      <c r="G97">
        <v>243</v>
      </c>
      <c r="H97" s="2">
        <v>2676.8</v>
      </c>
      <c r="I97" t="b">
        <v>0</v>
      </c>
      <c r="J97" s="1">
        <v>45049</v>
      </c>
      <c r="K97" s="3">
        <v>25.51</v>
      </c>
      <c r="L97" s="3">
        <v>62.84</v>
      </c>
    </row>
    <row r="98" spans="1:12" x14ac:dyDescent="0.25">
      <c r="A98" t="s">
        <v>452</v>
      </c>
      <c r="B98" t="s">
        <v>453</v>
      </c>
      <c r="C98" t="s">
        <v>454</v>
      </c>
      <c r="D98" s="4">
        <v>3625</v>
      </c>
      <c r="E98" t="s">
        <v>29</v>
      </c>
      <c r="F98" t="s">
        <v>40</v>
      </c>
      <c r="G98">
        <v>214</v>
      </c>
      <c r="H98" s="2">
        <v>65413.5</v>
      </c>
      <c r="I98" t="b">
        <v>0</v>
      </c>
      <c r="J98" s="1">
        <v>44991</v>
      </c>
      <c r="K98" s="3">
        <v>21.010999999999999</v>
      </c>
      <c r="L98" s="3">
        <v>30.01</v>
      </c>
    </row>
    <row r="99" spans="1:12" x14ac:dyDescent="0.25">
      <c r="A99" t="s">
        <v>455</v>
      </c>
      <c r="B99" t="s">
        <v>456</v>
      </c>
      <c r="C99" t="s">
        <v>457</v>
      </c>
      <c r="D99" s="4">
        <v>161758</v>
      </c>
      <c r="E99" t="s">
        <v>458</v>
      </c>
      <c r="F99" t="s">
        <v>12</v>
      </c>
      <c r="G99">
        <v>175</v>
      </c>
      <c r="H99" s="2">
        <v>12962.91</v>
      </c>
      <c r="I99" t="b">
        <v>0</v>
      </c>
      <c r="J99" s="1">
        <v>45305</v>
      </c>
      <c r="K99" s="3">
        <v>29.56</v>
      </c>
      <c r="L99" s="3">
        <v>14.14</v>
      </c>
    </row>
    <row r="100" spans="1:12" x14ac:dyDescent="0.25">
      <c r="A100" t="s">
        <v>459</v>
      </c>
      <c r="B100" t="s">
        <v>460</v>
      </c>
      <c r="C100" t="s">
        <v>461</v>
      </c>
      <c r="D100" s="4">
        <v>44215</v>
      </c>
      <c r="E100" t="s">
        <v>462</v>
      </c>
      <c r="F100" t="s">
        <v>33</v>
      </c>
      <c r="G100">
        <v>128</v>
      </c>
      <c r="H100" s="2">
        <v>58789.74</v>
      </c>
      <c r="I100" t="b">
        <v>0</v>
      </c>
      <c r="J100" s="1">
        <v>44635</v>
      </c>
      <c r="K100" s="3">
        <v>11.093</v>
      </c>
      <c r="L100" s="3">
        <v>28.03</v>
      </c>
    </row>
    <row r="101" spans="1:12" x14ac:dyDescent="0.25">
      <c r="A101" t="s">
        <v>463</v>
      </c>
      <c r="B101" t="s">
        <v>464</v>
      </c>
      <c r="C101" t="s">
        <v>465</v>
      </c>
      <c r="D101" s="4">
        <v>10676</v>
      </c>
      <c r="E101" t="s">
        <v>466</v>
      </c>
      <c r="F101" t="s">
        <v>53</v>
      </c>
      <c r="G101">
        <v>188</v>
      </c>
      <c r="H101" s="2">
        <v>87614.3</v>
      </c>
      <c r="I101" t="b">
        <v>1</v>
      </c>
      <c r="J101" s="1">
        <v>45238</v>
      </c>
      <c r="K101" s="3">
        <v>14.73</v>
      </c>
      <c r="L101" s="3">
        <v>32.44</v>
      </c>
    </row>
    <row r="102" spans="1:12" x14ac:dyDescent="0.25">
      <c r="A102" t="s">
        <v>467</v>
      </c>
      <c r="B102" t="s">
        <v>468</v>
      </c>
      <c r="C102" t="s">
        <v>469</v>
      </c>
      <c r="D102" s="4" t="s">
        <v>470</v>
      </c>
      <c r="E102" t="s">
        <v>471</v>
      </c>
      <c r="F102" t="s">
        <v>40</v>
      </c>
      <c r="G102">
        <v>31</v>
      </c>
      <c r="H102" s="2">
        <v>49573.54</v>
      </c>
      <c r="I102" t="b">
        <v>0</v>
      </c>
      <c r="J102" s="1">
        <v>44329</v>
      </c>
      <c r="K102" s="3">
        <v>29.542000000000002</v>
      </c>
      <c r="L102" s="3">
        <v>5.57</v>
      </c>
    </row>
    <row r="103" spans="1:12" x14ac:dyDescent="0.25">
      <c r="A103" t="s">
        <v>472</v>
      </c>
      <c r="B103" t="s">
        <v>473</v>
      </c>
      <c r="C103" t="s">
        <v>825</v>
      </c>
      <c r="D103" s="4" t="s">
        <v>474</v>
      </c>
      <c r="E103" t="s">
        <v>475</v>
      </c>
      <c r="F103" t="s">
        <v>28</v>
      </c>
      <c r="G103">
        <v>141</v>
      </c>
      <c r="H103" s="2">
        <v>78228.34</v>
      </c>
      <c r="I103" t="b">
        <v>0</v>
      </c>
      <c r="J103" s="1">
        <v>45443</v>
      </c>
      <c r="K103" s="3">
        <v>20.047999999999998</v>
      </c>
      <c r="L103" s="3">
        <v>41.47</v>
      </c>
    </row>
    <row r="104" spans="1:12" x14ac:dyDescent="0.25">
      <c r="A104" t="s">
        <v>476</v>
      </c>
      <c r="B104" t="s">
        <v>477</v>
      </c>
      <c r="C104" t="s">
        <v>478</v>
      </c>
      <c r="D104" s="4">
        <v>1817</v>
      </c>
      <c r="E104" t="s">
        <v>479</v>
      </c>
      <c r="F104" t="s">
        <v>48</v>
      </c>
      <c r="G104">
        <v>218</v>
      </c>
      <c r="H104" s="2">
        <v>89663</v>
      </c>
      <c r="I104" t="b">
        <v>1</v>
      </c>
      <c r="J104" s="1">
        <v>45451</v>
      </c>
      <c r="K104" s="3">
        <v>23.015000000000001</v>
      </c>
      <c r="L104" s="3">
        <v>86.63</v>
      </c>
    </row>
    <row r="105" spans="1:12" x14ac:dyDescent="0.25">
      <c r="A105" t="s">
        <v>480</v>
      </c>
      <c r="B105" t="s">
        <v>481</v>
      </c>
      <c r="C105" t="s">
        <v>482</v>
      </c>
      <c r="D105" s="4">
        <v>42618</v>
      </c>
      <c r="E105" t="s">
        <v>483</v>
      </c>
      <c r="F105" t="s">
        <v>38</v>
      </c>
      <c r="G105">
        <v>335</v>
      </c>
      <c r="H105" s="2">
        <v>25362.35</v>
      </c>
      <c r="I105" t="b">
        <v>1</v>
      </c>
      <c r="J105" s="1">
        <v>44471</v>
      </c>
      <c r="K105" s="3">
        <v>2.1019999999999999</v>
      </c>
      <c r="L105" s="3">
        <v>83.62</v>
      </c>
    </row>
    <row r="106" spans="1:12" x14ac:dyDescent="0.25">
      <c r="A106" t="s">
        <v>484</v>
      </c>
      <c r="B106" t="s">
        <v>485</v>
      </c>
      <c r="C106" t="s">
        <v>486</v>
      </c>
      <c r="D106" s="4">
        <v>8839</v>
      </c>
      <c r="E106" t="s">
        <v>487</v>
      </c>
      <c r="F106" t="s">
        <v>48</v>
      </c>
      <c r="G106">
        <v>168</v>
      </c>
      <c r="H106" s="2">
        <v>49644.62</v>
      </c>
      <c r="I106" t="b">
        <v>1</v>
      </c>
      <c r="J106" s="1">
        <v>45327</v>
      </c>
      <c r="K106" s="3">
        <v>21.673999999999999</v>
      </c>
      <c r="L106" s="3">
        <v>18.420000000000002</v>
      </c>
    </row>
    <row r="107" spans="1:12" x14ac:dyDescent="0.25">
      <c r="A107" t="s">
        <v>488</v>
      </c>
      <c r="B107" t="s">
        <v>489</v>
      </c>
      <c r="C107" t="s">
        <v>826</v>
      </c>
      <c r="D107" s="4">
        <v>146442</v>
      </c>
      <c r="E107" t="s">
        <v>65</v>
      </c>
      <c r="F107" t="s">
        <v>22</v>
      </c>
      <c r="G107">
        <v>401</v>
      </c>
      <c r="H107" s="2">
        <v>13302.79</v>
      </c>
      <c r="I107" t="b">
        <v>0</v>
      </c>
      <c r="J107" s="1">
        <v>44218</v>
      </c>
      <c r="K107" s="3">
        <v>28.305</v>
      </c>
      <c r="L107" s="3">
        <v>63.45</v>
      </c>
    </row>
    <row r="108" spans="1:12" x14ac:dyDescent="0.25">
      <c r="A108" t="s">
        <v>490</v>
      </c>
      <c r="B108" t="s">
        <v>491</v>
      </c>
      <c r="C108" t="s">
        <v>492</v>
      </c>
      <c r="D108" s="4">
        <v>16377</v>
      </c>
      <c r="E108" t="s">
        <v>493</v>
      </c>
      <c r="F108" t="s">
        <v>33</v>
      </c>
      <c r="G108">
        <v>452</v>
      </c>
      <c r="H108" s="2">
        <v>54746.71</v>
      </c>
      <c r="I108" t="b">
        <v>1</v>
      </c>
      <c r="J108" s="1">
        <v>45430</v>
      </c>
      <c r="K108" s="3">
        <v>27.667000000000002</v>
      </c>
      <c r="L108" s="3">
        <v>26.25</v>
      </c>
    </row>
    <row r="109" spans="1:12" x14ac:dyDescent="0.25">
      <c r="A109" t="s">
        <v>494</v>
      </c>
      <c r="B109" t="s">
        <v>495</v>
      </c>
      <c r="C109" t="s">
        <v>496</v>
      </c>
      <c r="D109" s="4">
        <v>4992</v>
      </c>
      <c r="E109" t="s">
        <v>25</v>
      </c>
      <c r="F109" t="s">
        <v>71</v>
      </c>
      <c r="G109">
        <v>491</v>
      </c>
      <c r="H109" s="2">
        <v>57571.13</v>
      </c>
      <c r="I109" t="b">
        <v>1</v>
      </c>
      <c r="J109" s="1">
        <v>44785</v>
      </c>
      <c r="K109" s="3">
        <v>1.0660000000000001</v>
      </c>
      <c r="L109" s="3">
        <v>66.55</v>
      </c>
    </row>
    <row r="110" spans="1:12" x14ac:dyDescent="0.25">
      <c r="A110" t="s">
        <v>497</v>
      </c>
      <c r="B110" t="s">
        <v>498</v>
      </c>
      <c r="C110" t="s">
        <v>499</v>
      </c>
      <c r="D110" s="4">
        <v>50804</v>
      </c>
      <c r="E110" t="s">
        <v>500</v>
      </c>
      <c r="F110" t="s">
        <v>23</v>
      </c>
      <c r="G110">
        <v>212</v>
      </c>
      <c r="H110" s="2">
        <v>33731.56</v>
      </c>
      <c r="I110" t="b">
        <v>1</v>
      </c>
      <c r="J110" s="1">
        <v>44625</v>
      </c>
      <c r="K110" s="3">
        <v>7.0170000000000003</v>
      </c>
      <c r="L110" s="3">
        <v>67.81</v>
      </c>
    </row>
    <row r="111" spans="1:12" x14ac:dyDescent="0.25">
      <c r="A111" t="s">
        <v>501</v>
      </c>
      <c r="B111" t="s">
        <v>502</v>
      </c>
      <c r="C111" t="s">
        <v>503</v>
      </c>
      <c r="D111" s="4">
        <v>618376</v>
      </c>
      <c r="E111" t="s">
        <v>255</v>
      </c>
      <c r="F111" t="s">
        <v>32</v>
      </c>
      <c r="G111">
        <v>396</v>
      </c>
      <c r="H111" s="2">
        <v>24892.78</v>
      </c>
      <c r="I111" t="b">
        <v>1</v>
      </c>
      <c r="J111" s="1">
        <v>45414</v>
      </c>
      <c r="K111" s="3">
        <v>13.176</v>
      </c>
      <c r="L111" s="3">
        <v>92.18</v>
      </c>
    </row>
    <row r="112" spans="1:12" x14ac:dyDescent="0.25">
      <c r="A112" t="s">
        <v>504</v>
      </c>
      <c r="B112" t="s">
        <v>505</v>
      </c>
      <c r="C112" t="s">
        <v>506</v>
      </c>
      <c r="D112" s="4">
        <v>397632</v>
      </c>
      <c r="E112" t="s">
        <v>507</v>
      </c>
      <c r="F112" t="s">
        <v>28</v>
      </c>
      <c r="G112">
        <v>197</v>
      </c>
      <c r="H112" s="2">
        <v>78772.259999999995</v>
      </c>
      <c r="I112" t="b">
        <v>0</v>
      </c>
      <c r="J112" s="1">
        <v>44933</v>
      </c>
      <c r="K112" s="3">
        <v>22.675000000000001</v>
      </c>
      <c r="L112" s="3">
        <v>35.76</v>
      </c>
    </row>
    <row r="113" spans="1:12" x14ac:dyDescent="0.25">
      <c r="A113" t="s">
        <v>508</v>
      </c>
      <c r="B113" t="s">
        <v>509</v>
      </c>
      <c r="C113" t="s">
        <v>510</v>
      </c>
      <c r="D113" s="4">
        <v>7573</v>
      </c>
      <c r="E113" t="s">
        <v>511</v>
      </c>
      <c r="F113" t="s">
        <v>48</v>
      </c>
      <c r="G113">
        <v>168</v>
      </c>
      <c r="H113" s="2">
        <v>21442.28</v>
      </c>
      <c r="I113" t="b">
        <v>1</v>
      </c>
      <c r="J113" s="1">
        <v>44002</v>
      </c>
      <c r="K113" s="3">
        <v>1.93</v>
      </c>
      <c r="L113" s="3">
        <v>8.25</v>
      </c>
    </row>
    <row r="114" spans="1:12" x14ac:dyDescent="0.25">
      <c r="A114" t="s">
        <v>512</v>
      </c>
      <c r="B114" t="s">
        <v>513</v>
      </c>
      <c r="C114" t="s">
        <v>514</v>
      </c>
      <c r="D114" s="4">
        <v>981648</v>
      </c>
      <c r="E114" t="s">
        <v>59</v>
      </c>
      <c r="F114" t="s">
        <v>66</v>
      </c>
      <c r="G114">
        <v>16</v>
      </c>
      <c r="H114" s="2">
        <v>77271.08</v>
      </c>
      <c r="I114" t="b">
        <v>0</v>
      </c>
      <c r="J114" s="1">
        <v>45212</v>
      </c>
      <c r="K114" s="3">
        <v>16.190999999999999</v>
      </c>
      <c r="L114" s="3">
        <v>36.81</v>
      </c>
    </row>
    <row r="115" spans="1:12" x14ac:dyDescent="0.25">
      <c r="A115" t="s">
        <v>515</v>
      </c>
      <c r="B115" t="s">
        <v>516</v>
      </c>
      <c r="C115" t="s">
        <v>517</v>
      </c>
      <c r="D115" s="4">
        <v>30403</v>
      </c>
      <c r="E115" t="s">
        <v>518</v>
      </c>
      <c r="F115" t="s">
        <v>28</v>
      </c>
      <c r="G115">
        <v>432</v>
      </c>
      <c r="H115" s="2">
        <v>86954.37</v>
      </c>
      <c r="I115" t="b">
        <v>1</v>
      </c>
      <c r="J115" s="1">
        <v>45734</v>
      </c>
      <c r="K115" s="3">
        <v>29.266999999999999</v>
      </c>
      <c r="L115" s="3">
        <v>32.590000000000003</v>
      </c>
    </row>
    <row r="116" spans="1:12" x14ac:dyDescent="0.25">
      <c r="A116" t="s">
        <v>519</v>
      </c>
      <c r="B116" t="s">
        <v>520</v>
      </c>
      <c r="C116" t="s">
        <v>521</v>
      </c>
      <c r="D116" s="4">
        <v>41136</v>
      </c>
      <c r="E116" t="s">
        <v>24</v>
      </c>
      <c r="F116" t="s">
        <v>18</v>
      </c>
      <c r="G116">
        <v>252</v>
      </c>
      <c r="H116" s="2">
        <v>4157.6499999999996</v>
      </c>
      <c r="I116" t="b">
        <v>1</v>
      </c>
      <c r="J116" s="1">
        <v>45263</v>
      </c>
      <c r="K116" s="3">
        <v>17.863</v>
      </c>
      <c r="L116" s="3">
        <v>18.07</v>
      </c>
    </row>
    <row r="117" spans="1:12" x14ac:dyDescent="0.25">
      <c r="A117" t="s">
        <v>522</v>
      </c>
      <c r="B117" t="s">
        <v>523</v>
      </c>
      <c r="C117" t="s">
        <v>524</v>
      </c>
      <c r="D117" s="4">
        <v>5855</v>
      </c>
      <c r="E117" t="s">
        <v>525</v>
      </c>
      <c r="F117" t="s">
        <v>40</v>
      </c>
      <c r="G117">
        <v>136</v>
      </c>
      <c r="H117" s="2">
        <v>71578.97</v>
      </c>
      <c r="I117" t="b">
        <v>0</v>
      </c>
      <c r="J117" s="1">
        <v>44299</v>
      </c>
      <c r="K117" s="3">
        <v>17.181999999999999</v>
      </c>
      <c r="L117" s="3">
        <v>74.099999999999994</v>
      </c>
    </row>
    <row r="118" spans="1:12" x14ac:dyDescent="0.25">
      <c r="A118" t="s">
        <v>526</v>
      </c>
      <c r="B118" t="s">
        <v>527</v>
      </c>
      <c r="C118" t="s">
        <v>827</v>
      </c>
      <c r="D118" s="4">
        <v>442405</v>
      </c>
      <c r="E118" t="s">
        <v>528</v>
      </c>
      <c r="F118" t="s">
        <v>28</v>
      </c>
      <c r="G118">
        <v>385</v>
      </c>
      <c r="H118" s="2">
        <v>978.01</v>
      </c>
      <c r="I118" t="b">
        <v>0</v>
      </c>
      <c r="J118" s="1">
        <v>45204</v>
      </c>
      <c r="K118" s="3">
        <v>26.577000000000002</v>
      </c>
      <c r="L118" s="3">
        <v>80.349999999999994</v>
      </c>
    </row>
    <row r="119" spans="1:12" x14ac:dyDescent="0.25">
      <c r="A119" t="s">
        <v>529</v>
      </c>
      <c r="B119" t="s">
        <v>530</v>
      </c>
      <c r="C119" t="s">
        <v>531</v>
      </c>
      <c r="D119" s="4" t="s">
        <v>532</v>
      </c>
      <c r="E119" t="s">
        <v>533</v>
      </c>
      <c r="F119" t="s">
        <v>61</v>
      </c>
      <c r="G119">
        <v>126</v>
      </c>
      <c r="H119" s="2">
        <v>1374.12</v>
      </c>
      <c r="I119" t="b">
        <v>0</v>
      </c>
      <c r="J119" s="1">
        <v>45639</v>
      </c>
      <c r="K119" s="3">
        <v>23.463999999999999</v>
      </c>
      <c r="L119" s="3">
        <v>31.28</v>
      </c>
    </row>
    <row r="120" spans="1:12" x14ac:dyDescent="0.25">
      <c r="A120" t="s">
        <v>534</v>
      </c>
      <c r="B120" t="s">
        <v>535</v>
      </c>
      <c r="C120" t="s">
        <v>536</v>
      </c>
      <c r="D120" s="4">
        <v>6138</v>
      </c>
      <c r="E120" t="s">
        <v>537</v>
      </c>
      <c r="F120" t="s">
        <v>38</v>
      </c>
      <c r="G120">
        <v>201</v>
      </c>
      <c r="H120" s="2">
        <v>28625.14</v>
      </c>
      <c r="I120" t="b">
        <v>0</v>
      </c>
      <c r="J120" s="1">
        <v>45058</v>
      </c>
      <c r="K120" s="3">
        <v>27.201000000000001</v>
      </c>
      <c r="L120" s="3">
        <v>73.27</v>
      </c>
    </row>
    <row r="121" spans="1:12" x14ac:dyDescent="0.25">
      <c r="A121" t="s">
        <v>538</v>
      </c>
      <c r="B121" t="s">
        <v>539</v>
      </c>
      <c r="C121" t="s">
        <v>540</v>
      </c>
      <c r="D121" s="4">
        <v>7675</v>
      </c>
      <c r="E121" t="s">
        <v>541</v>
      </c>
      <c r="F121" t="s">
        <v>61</v>
      </c>
      <c r="G121">
        <v>185</v>
      </c>
      <c r="H121" s="2">
        <v>56303.45</v>
      </c>
      <c r="I121" t="b">
        <v>0</v>
      </c>
      <c r="J121" s="1">
        <v>43972</v>
      </c>
      <c r="K121" s="3">
        <v>10.504</v>
      </c>
      <c r="L121" s="3">
        <v>45.28</v>
      </c>
    </row>
    <row r="122" spans="1:12" x14ac:dyDescent="0.25">
      <c r="A122" t="s">
        <v>542</v>
      </c>
      <c r="B122" t="s">
        <v>543</v>
      </c>
      <c r="C122" t="s">
        <v>544</v>
      </c>
      <c r="D122" s="4">
        <v>345166</v>
      </c>
      <c r="E122" t="s">
        <v>545</v>
      </c>
      <c r="F122" t="s">
        <v>61</v>
      </c>
      <c r="G122">
        <v>253</v>
      </c>
      <c r="H122" s="2">
        <v>79167.850000000006</v>
      </c>
      <c r="I122" t="b">
        <v>0</v>
      </c>
      <c r="J122" s="1">
        <v>44398</v>
      </c>
      <c r="K122" s="3">
        <v>25.497</v>
      </c>
      <c r="L122" s="3">
        <v>70.02</v>
      </c>
    </row>
    <row r="123" spans="1:12" x14ac:dyDescent="0.25">
      <c r="A123" t="s">
        <v>546</v>
      </c>
      <c r="B123" t="s">
        <v>547</v>
      </c>
      <c r="C123" t="s">
        <v>828</v>
      </c>
      <c r="D123" s="4">
        <v>995818</v>
      </c>
      <c r="E123" t="s">
        <v>68</v>
      </c>
      <c r="F123" t="s">
        <v>15</v>
      </c>
      <c r="G123">
        <v>419</v>
      </c>
      <c r="H123" s="2">
        <v>56117.91</v>
      </c>
      <c r="I123" t="b">
        <v>0</v>
      </c>
      <c r="J123" s="1">
        <v>45444</v>
      </c>
      <c r="K123" s="3">
        <v>18.989999999999998</v>
      </c>
      <c r="L123" s="3">
        <v>57.4</v>
      </c>
    </row>
    <row r="124" spans="1:12" x14ac:dyDescent="0.25">
      <c r="A124" t="s">
        <v>548</v>
      </c>
      <c r="B124" t="s">
        <v>549</v>
      </c>
      <c r="C124" t="s">
        <v>550</v>
      </c>
      <c r="D124" s="4">
        <v>2723</v>
      </c>
      <c r="E124" t="s">
        <v>551</v>
      </c>
      <c r="F124" t="s">
        <v>16</v>
      </c>
      <c r="G124">
        <v>66</v>
      </c>
      <c r="H124" s="2">
        <v>80223.039999999994</v>
      </c>
      <c r="I124" t="b">
        <v>1</v>
      </c>
      <c r="J124" s="1">
        <v>45456</v>
      </c>
      <c r="K124" s="3">
        <v>5.6840000000000002</v>
      </c>
      <c r="L124" s="3">
        <v>68.22</v>
      </c>
    </row>
    <row r="125" spans="1:12" x14ac:dyDescent="0.25">
      <c r="A125" t="s">
        <v>552</v>
      </c>
      <c r="B125" t="s">
        <v>553</v>
      </c>
      <c r="C125" t="s">
        <v>554</v>
      </c>
      <c r="D125" s="4">
        <v>30238</v>
      </c>
      <c r="E125" t="s">
        <v>31</v>
      </c>
      <c r="F125" t="s">
        <v>32</v>
      </c>
      <c r="G125">
        <v>35</v>
      </c>
      <c r="H125" s="2">
        <v>27932.68</v>
      </c>
      <c r="I125" t="b">
        <v>1</v>
      </c>
      <c r="J125" s="1">
        <v>44879</v>
      </c>
      <c r="K125" s="3">
        <v>9.5129999999999999</v>
      </c>
      <c r="L125" s="3">
        <v>25.9</v>
      </c>
    </row>
    <row r="126" spans="1:12" x14ac:dyDescent="0.25">
      <c r="A126" t="s">
        <v>555</v>
      </c>
      <c r="B126" t="s">
        <v>556</v>
      </c>
      <c r="C126" t="s">
        <v>557</v>
      </c>
      <c r="D126" s="4">
        <v>2647</v>
      </c>
      <c r="E126" t="s">
        <v>558</v>
      </c>
      <c r="F126" t="s">
        <v>42</v>
      </c>
      <c r="G126">
        <v>380</v>
      </c>
      <c r="H126" s="2">
        <v>38046.22</v>
      </c>
      <c r="I126" t="b">
        <v>1</v>
      </c>
      <c r="J126" s="1">
        <v>44455</v>
      </c>
      <c r="K126" s="3">
        <v>5.0259999999999998</v>
      </c>
      <c r="L126" s="3">
        <v>26.58</v>
      </c>
    </row>
    <row r="127" spans="1:12" x14ac:dyDescent="0.25">
      <c r="A127" t="s">
        <v>559</v>
      </c>
      <c r="B127" t="s">
        <v>560</v>
      </c>
      <c r="C127" t="s">
        <v>561</v>
      </c>
      <c r="D127" s="4">
        <v>83029</v>
      </c>
      <c r="E127" t="s">
        <v>11</v>
      </c>
      <c r="F127" t="s">
        <v>53</v>
      </c>
      <c r="G127">
        <v>379</v>
      </c>
      <c r="H127" s="2">
        <v>60972.66</v>
      </c>
      <c r="I127" t="b">
        <v>0</v>
      </c>
      <c r="J127" s="1">
        <v>44266</v>
      </c>
      <c r="K127" s="3">
        <v>15.009</v>
      </c>
      <c r="L127" s="3">
        <v>75.36</v>
      </c>
    </row>
    <row r="128" spans="1:12" x14ac:dyDescent="0.25">
      <c r="A128" t="s">
        <v>562</v>
      </c>
      <c r="B128" t="s">
        <v>563</v>
      </c>
      <c r="C128" t="s">
        <v>564</v>
      </c>
      <c r="D128" s="4">
        <v>44280</v>
      </c>
      <c r="E128" t="s">
        <v>565</v>
      </c>
      <c r="F128" t="s">
        <v>23</v>
      </c>
      <c r="G128">
        <v>369</v>
      </c>
      <c r="H128" s="2">
        <v>64562.14</v>
      </c>
      <c r="I128" t="b">
        <v>0</v>
      </c>
      <c r="J128" s="1">
        <v>44547</v>
      </c>
      <c r="K128" s="3">
        <v>15.215</v>
      </c>
      <c r="L128" s="3">
        <v>93.92</v>
      </c>
    </row>
    <row r="129" spans="1:12" x14ac:dyDescent="0.25">
      <c r="A129" t="s">
        <v>566</v>
      </c>
      <c r="B129" t="s">
        <v>567</v>
      </c>
      <c r="C129" t="s">
        <v>568</v>
      </c>
      <c r="D129" s="4" t="s">
        <v>569</v>
      </c>
      <c r="E129" t="s">
        <v>55</v>
      </c>
      <c r="F129" t="s">
        <v>13</v>
      </c>
      <c r="G129">
        <v>15</v>
      </c>
      <c r="H129" s="2">
        <v>62968.51</v>
      </c>
      <c r="I129" t="b">
        <v>0</v>
      </c>
      <c r="J129" s="1">
        <v>44726</v>
      </c>
      <c r="K129" s="3">
        <v>18.288</v>
      </c>
      <c r="L129" s="3">
        <v>82.23</v>
      </c>
    </row>
    <row r="130" spans="1:12" x14ac:dyDescent="0.25">
      <c r="A130" t="s">
        <v>570</v>
      </c>
      <c r="B130" t="s">
        <v>571</v>
      </c>
      <c r="C130" t="s">
        <v>572</v>
      </c>
      <c r="D130" s="4">
        <v>2858</v>
      </c>
      <c r="E130" t="s">
        <v>243</v>
      </c>
      <c r="F130" t="s">
        <v>53</v>
      </c>
      <c r="G130">
        <v>303</v>
      </c>
      <c r="H130" s="2">
        <v>23177.439999999999</v>
      </c>
      <c r="I130" t="b">
        <v>0</v>
      </c>
      <c r="J130" s="1">
        <v>45274</v>
      </c>
      <c r="K130" s="3">
        <v>14.436</v>
      </c>
      <c r="L130" s="3">
        <v>7.84</v>
      </c>
    </row>
    <row r="131" spans="1:12" x14ac:dyDescent="0.25">
      <c r="A131" t="s">
        <v>573</v>
      </c>
      <c r="B131" t="s">
        <v>574</v>
      </c>
      <c r="C131" t="s">
        <v>575</v>
      </c>
      <c r="D131" s="4" t="s">
        <v>576</v>
      </c>
      <c r="E131" t="s">
        <v>25</v>
      </c>
      <c r="F131" t="s">
        <v>12</v>
      </c>
      <c r="G131">
        <v>205</v>
      </c>
      <c r="H131" s="2">
        <v>78764.62</v>
      </c>
      <c r="I131" t="b">
        <v>0</v>
      </c>
      <c r="J131" s="1">
        <v>44846</v>
      </c>
      <c r="K131" s="3">
        <v>19.734999999999999</v>
      </c>
      <c r="L131" s="3">
        <v>96.17</v>
      </c>
    </row>
    <row r="132" spans="1:12" x14ac:dyDescent="0.25">
      <c r="A132" t="s">
        <v>577</v>
      </c>
      <c r="B132" t="s">
        <v>578</v>
      </c>
      <c r="C132" t="s">
        <v>579</v>
      </c>
      <c r="D132" s="4">
        <v>53962</v>
      </c>
      <c r="E132" t="s">
        <v>580</v>
      </c>
      <c r="F132" t="s">
        <v>61</v>
      </c>
      <c r="G132">
        <v>296</v>
      </c>
      <c r="H132" s="2">
        <v>71699.37</v>
      </c>
      <c r="I132" t="b">
        <v>0</v>
      </c>
      <c r="J132" s="1">
        <v>45138</v>
      </c>
      <c r="K132" s="3">
        <v>10.065</v>
      </c>
      <c r="L132" s="3">
        <v>71.73</v>
      </c>
    </row>
    <row r="133" spans="1:12" x14ac:dyDescent="0.25">
      <c r="A133" t="s">
        <v>581</v>
      </c>
      <c r="B133" t="s">
        <v>582</v>
      </c>
      <c r="C133" t="s">
        <v>583</v>
      </c>
      <c r="D133" s="4">
        <v>3452</v>
      </c>
      <c r="E133" t="s">
        <v>584</v>
      </c>
      <c r="F133" t="s">
        <v>20</v>
      </c>
      <c r="G133">
        <v>365</v>
      </c>
      <c r="H133" s="2">
        <v>71216.03</v>
      </c>
      <c r="I133" t="b">
        <v>1</v>
      </c>
      <c r="J133" s="1">
        <v>45546</v>
      </c>
      <c r="K133" s="3">
        <v>9.5619999999999994</v>
      </c>
      <c r="L133" s="3">
        <v>77.37</v>
      </c>
    </row>
    <row r="134" spans="1:12" x14ac:dyDescent="0.25">
      <c r="A134" t="s">
        <v>585</v>
      </c>
      <c r="B134" t="s">
        <v>586</v>
      </c>
      <c r="C134" t="s">
        <v>587</v>
      </c>
      <c r="D134" s="4" t="s">
        <v>588</v>
      </c>
      <c r="E134" t="s">
        <v>589</v>
      </c>
      <c r="F134" t="s">
        <v>37</v>
      </c>
      <c r="G134">
        <v>420</v>
      </c>
      <c r="H134" s="2">
        <v>85264.3</v>
      </c>
      <c r="I134" t="b">
        <v>1</v>
      </c>
      <c r="J134" s="1">
        <v>43954</v>
      </c>
      <c r="K134" s="3">
        <v>20.218</v>
      </c>
      <c r="L134" s="3">
        <v>53.22</v>
      </c>
    </row>
    <row r="135" spans="1:12" x14ac:dyDescent="0.25">
      <c r="A135" t="s">
        <v>590</v>
      </c>
      <c r="B135" t="s">
        <v>591</v>
      </c>
      <c r="C135" t="s">
        <v>592</v>
      </c>
      <c r="D135" s="4">
        <v>4573</v>
      </c>
      <c r="E135" t="s">
        <v>21</v>
      </c>
      <c r="F135" t="s">
        <v>2</v>
      </c>
      <c r="G135">
        <v>499</v>
      </c>
      <c r="H135" s="2">
        <v>6222.75</v>
      </c>
      <c r="I135" t="b">
        <v>0</v>
      </c>
      <c r="J135" s="1">
        <v>45499</v>
      </c>
      <c r="K135" s="3">
        <v>3.7</v>
      </c>
      <c r="L135" s="3">
        <v>26.98</v>
      </c>
    </row>
    <row r="136" spans="1:12" x14ac:dyDescent="0.25">
      <c r="A136" t="s">
        <v>593</v>
      </c>
      <c r="B136" t="s">
        <v>594</v>
      </c>
      <c r="C136" t="s">
        <v>595</v>
      </c>
      <c r="D136" s="4">
        <v>71129</v>
      </c>
      <c r="E136" t="s">
        <v>596</v>
      </c>
      <c r="F136" t="s">
        <v>12</v>
      </c>
      <c r="G136">
        <v>416</v>
      </c>
      <c r="H136" s="2">
        <v>21572.26</v>
      </c>
      <c r="I136" t="b">
        <v>1</v>
      </c>
      <c r="J136" s="1">
        <v>44083</v>
      </c>
      <c r="K136" s="3">
        <v>25.53</v>
      </c>
      <c r="L136" s="3">
        <v>85.44</v>
      </c>
    </row>
    <row r="137" spans="1:12" x14ac:dyDescent="0.25">
      <c r="A137" t="s">
        <v>597</v>
      </c>
      <c r="B137" t="s">
        <v>598</v>
      </c>
      <c r="C137" t="s">
        <v>599</v>
      </c>
      <c r="D137" s="4">
        <v>24471</v>
      </c>
      <c r="E137" t="s">
        <v>60</v>
      </c>
      <c r="F137" t="s">
        <v>16</v>
      </c>
      <c r="G137">
        <v>431</v>
      </c>
      <c r="H137" s="2">
        <v>29270.35</v>
      </c>
      <c r="I137" t="b">
        <v>1</v>
      </c>
      <c r="J137" s="1">
        <v>43938</v>
      </c>
      <c r="K137" s="3">
        <v>17.928999999999998</v>
      </c>
      <c r="L137" s="3">
        <v>38.85</v>
      </c>
    </row>
    <row r="138" spans="1:12" x14ac:dyDescent="0.25">
      <c r="A138" t="s">
        <v>600</v>
      </c>
      <c r="B138" t="s">
        <v>601</v>
      </c>
      <c r="C138" t="s">
        <v>602</v>
      </c>
      <c r="D138" s="4" t="s">
        <v>603</v>
      </c>
      <c r="E138" t="s">
        <v>25</v>
      </c>
      <c r="F138" t="s">
        <v>37</v>
      </c>
      <c r="G138">
        <v>144</v>
      </c>
      <c r="H138" s="2">
        <v>45970.59</v>
      </c>
      <c r="I138" t="b">
        <v>0</v>
      </c>
      <c r="J138" s="1">
        <v>45518</v>
      </c>
      <c r="K138" s="3">
        <v>5.202</v>
      </c>
      <c r="L138" s="3">
        <v>84.76</v>
      </c>
    </row>
    <row r="139" spans="1:12" x14ac:dyDescent="0.25">
      <c r="A139" t="s">
        <v>604</v>
      </c>
      <c r="B139" t="s">
        <v>605</v>
      </c>
      <c r="C139" t="s">
        <v>606</v>
      </c>
      <c r="D139" s="4">
        <v>2472</v>
      </c>
      <c r="E139" t="s">
        <v>607</v>
      </c>
      <c r="F139" t="s">
        <v>28</v>
      </c>
      <c r="G139">
        <v>401</v>
      </c>
      <c r="H139" s="2">
        <v>83001.91</v>
      </c>
      <c r="I139" t="b">
        <v>0</v>
      </c>
      <c r="J139" s="1">
        <v>45411</v>
      </c>
      <c r="K139" s="3">
        <v>10.19</v>
      </c>
      <c r="L139" s="3">
        <v>97.11</v>
      </c>
    </row>
    <row r="140" spans="1:12" x14ac:dyDescent="0.25">
      <c r="A140" t="s">
        <v>608</v>
      </c>
      <c r="B140" t="s">
        <v>609</v>
      </c>
      <c r="C140" t="s">
        <v>610</v>
      </c>
      <c r="D140" s="4">
        <v>1036</v>
      </c>
      <c r="E140" t="s">
        <v>54</v>
      </c>
      <c r="F140" t="s">
        <v>47</v>
      </c>
      <c r="G140">
        <v>123</v>
      </c>
      <c r="H140" s="2">
        <v>32410.240000000002</v>
      </c>
      <c r="I140" t="b">
        <v>1</v>
      </c>
      <c r="J140" s="1">
        <v>45564</v>
      </c>
      <c r="K140" s="3">
        <v>1.8759999999999999</v>
      </c>
      <c r="L140" s="3">
        <v>88.43</v>
      </c>
    </row>
    <row r="141" spans="1:12" x14ac:dyDescent="0.25">
      <c r="A141" t="s">
        <v>611</v>
      </c>
      <c r="B141" t="s">
        <v>612</v>
      </c>
      <c r="C141" t="s">
        <v>613</v>
      </c>
      <c r="D141" s="4">
        <v>491326</v>
      </c>
      <c r="E141" t="s">
        <v>614</v>
      </c>
      <c r="F141" t="s">
        <v>64</v>
      </c>
      <c r="G141">
        <v>476</v>
      </c>
      <c r="H141" s="2">
        <v>79331.37</v>
      </c>
      <c r="I141" t="b">
        <v>1</v>
      </c>
      <c r="J141" s="1">
        <v>44906</v>
      </c>
      <c r="K141" s="3">
        <v>9.9969999999999999</v>
      </c>
      <c r="L141" s="3">
        <v>30.06</v>
      </c>
    </row>
    <row r="142" spans="1:12" x14ac:dyDescent="0.25">
      <c r="A142" t="s">
        <v>615</v>
      </c>
      <c r="B142" t="s">
        <v>616</v>
      </c>
      <c r="C142" t="s">
        <v>829</v>
      </c>
      <c r="D142" s="4">
        <v>7645</v>
      </c>
      <c r="E142" t="s">
        <v>617</v>
      </c>
      <c r="F142" t="s">
        <v>16</v>
      </c>
      <c r="G142">
        <v>423</v>
      </c>
      <c r="H142" s="2">
        <v>32905.53</v>
      </c>
      <c r="I142" t="b">
        <v>0</v>
      </c>
      <c r="J142" s="1">
        <v>45222</v>
      </c>
      <c r="K142" s="3">
        <v>18.984999999999999</v>
      </c>
      <c r="L142" s="3">
        <v>56.46</v>
      </c>
    </row>
    <row r="143" spans="1:12" x14ac:dyDescent="0.25">
      <c r="A143" t="s">
        <v>618</v>
      </c>
      <c r="B143" t="s">
        <v>619</v>
      </c>
      <c r="C143" t="s">
        <v>620</v>
      </c>
      <c r="D143" s="4">
        <v>36395</v>
      </c>
      <c r="E143" t="s">
        <v>621</v>
      </c>
      <c r="F143" t="s">
        <v>12</v>
      </c>
      <c r="G143">
        <v>321</v>
      </c>
      <c r="H143" s="2">
        <v>79253.179999999993</v>
      </c>
      <c r="I143" t="b">
        <v>0</v>
      </c>
      <c r="J143" s="1">
        <v>45588</v>
      </c>
      <c r="K143" s="3">
        <v>8.0009999999999994</v>
      </c>
      <c r="L143" s="3">
        <v>38.119999999999997</v>
      </c>
    </row>
    <row r="144" spans="1:12" x14ac:dyDescent="0.25">
      <c r="A144" t="s">
        <v>622</v>
      </c>
      <c r="B144" t="s">
        <v>623</v>
      </c>
      <c r="C144" t="s">
        <v>624</v>
      </c>
      <c r="D144" s="4">
        <v>92580</v>
      </c>
      <c r="E144" t="s">
        <v>10</v>
      </c>
      <c r="F144" t="s">
        <v>22</v>
      </c>
      <c r="G144">
        <v>14</v>
      </c>
      <c r="H144" s="2">
        <v>40608.43</v>
      </c>
      <c r="I144" t="b">
        <v>0</v>
      </c>
      <c r="J144" s="1">
        <v>44593</v>
      </c>
      <c r="K144" s="3">
        <v>10.358000000000001</v>
      </c>
      <c r="L144" s="3">
        <v>99.06</v>
      </c>
    </row>
    <row r="145" spans="1:12" x14ac:dyDescent="0.25">
      <c r="A145" t="s">
        <v>625</v>
      </c>
      <c r="B145" t="s">
        <v>626</v>
      </c>
      <c r="C145" t="s">
        <v>627</v>
      </c>
      <c r="D145" s="4" t="s">
        <v>628</v>
      </c>
      <c r="E145" t="s">
        <v>50</v>
      </c>
      <c r="F145" t="s">
        <v>23</v>
      </c>
      <c r="G145">
        <v>429</v>
      </c>
      <c r="H145" s="2">
        <v>85416.21</v>
      </c>
      <c r="I145" t="b">
        <v>0</v>
      </c>
      <c r="J145" s="1">
        <v>45191</v>
      </c>
      <c r="K145" s="3">
        <v>28.175999999999998</v>
      </c>
      <c r="L145" s="3">
        <v>30.49</v>
      </c>
    </row>
    <row r="146" spans="1:12" x14ac:dyDescent="0.25">
      <c r="A146" t="s">
        <v>629</v>
      </c>
      <c r="B146" t="s">
        <v>630</v>
      </c>
      <c r="C146" t="s">
        <v>631</v>
      </c>
      <c r="D146" s="4">
        <v>77682</v>
      </c>
      <c r="E146" t="s">
        <v>462</v>
      </c>
      <c r="F146" t="s">
        <v>19</v>
      </c>
      <c r="G146">
        <v>128</v>
      </c>
      <c r="H146" s="2">
        <v>16861.830000000002</v>
      </c>
      <c r="I146" t="b">
        <v>0</v>
      </c>
      <c r="J146" s="1">
        <v>45481</v>
      </c>
      <c r="K146" s="3">
        <v>29.946999999999999</v>
      </c>
      <c r="L146" s="3">
        <v>19.18</v>
      </c>
    </row>
    <row r="147" spans="1:12" x14ac:dyDescent="0.25">
      <c r="A147" t="s">
        <v>632</v>
      </c>
      <c r="B147" t="s">
        <v>633</v>
      </c>
      <c r="C147" t="s">
        <v>830</v>
      </c>
      <c r="D147" s="4" t="s">
        <v>634</v>
      </c>
      <c r="E147" t="s">
        <v>635</v>
      </c>
      <c r="F147" t="s">
        <v>33</v>
      </c>
      <c r="G147">
        <v>151</v>
      </c>
      <c r="H147" s="2">
        <v>23840.38</v>
      </c>
      <c r="I147" t="b">
        <v>0</v>
      </c>
      <c r="J147" s="1">
        <v>44344</v>
      </c>
      <c r="K147" s="3">
        <v>3.8519999999999999</v>
      </c>
      <c r="L147" s="3">
        <v>35.36</v>
      </c>
    </row>
    <row r="148" spans="1:12" x14ac:dyDescent="0.25">
      <c r="A148" t="s">
        <v>636</v>
      </c>
      <c r="B148" t="s">
        <v>637</v>
      </c>
      <c r="C148" t="s">
        <v>638</v>
      </c>
      <c r="D148" s="4">
        <v>6151</v>
      </c>
      <c r="E148" t="s">
        <v>635</v>
      </c>
      <c r="F148" t="s">
        <v>28</v>
      </c>
      <c r="G148">
        <v>276</v>
      </c>
      <c r="H148" s="2">
        <v>11115.72</v>
      </c>
      <c r="I148" t="b">
        <v>1</v>
      </c>
      <c r="J148" s="1">
        <v>45682</v>
      </c>
      <c r="K148" s="3">
        <v>1.913</v>
      </c>
      <c r="L148" s="3">
        <v>29.21</v>
      </c>
    </row>
    <row r="149" spans="1:12" x14ac:dyDescent="0.25">
      <c r="A149" t="s">
        <v>639</v>
      </c>
      <c r="B149" t="s">
        <v>640</v>
      </c>
      <c r="C149" t="s">
        <v>641</v>
      </c>
      <c r="D149" s="4">
        <v>368945</v>
      </c>
      <c r="E149" t="s">
        <v>642</v>
      </c>
      <c r="F149" t="s">
        <v>20</v>
      </c>
      <c r="G149">
        <v>287</v>
      </c>
      <c r="H149" s="2">
        <v>40847.769999999997</v>
      </c>
      <c r="I149" t="b">
        <v>1</v>
      </c>
      <c r="J149" s="1">
        <v>45030</v>
      </c>
      <c r="K149" s="3">
        <v>29.652999999999999</v>
      </c>
      <c r="L149" s="3">
        <v>28.52</v>
      </c>
    </row>
    <row r="150" spans="1:12" x14ac:dyDescent="0.25">
      <c r="A150" t="s">
        <v>643</v>
      </c>
      <c r="B150" t="s">
        <v>644</v>
      </c>
      <c r="C150" t="s">
        <v>645</v>
      </c>
      <c r="D150" s="4">
        <v>778848</v>
      </c>
      <c r="E150" t="s">
        <v>58</v>
      </c>
      <c r="F150" t="s">
        <v>12</v>
      </c>
      <c r="G150">
        <v>379</v>
      </c>
      <c r="H150" s="2">
        <v>46271.88</v>
      </c>
      <c r="I150" t="b">
        <v>0</v>
      </c>
      <c r="J150" s="1">
        <v>44743</v>
      </c>
      <c r="K150" s="3">
        <v>4.1479999999999997</v>
      </c>
      <c r="L150" s="3">
        <v>52.93</v>
      </c>
    </row>
    <row r="151" spans="1:12" x14ac:dyDescent="0.25">
      <c r="A151" t="s">
        <v>646</v>
      </c>
      <c r="B151" t="s">
        <v>647</v>
      </c>
      <c r="C151" t="s">
        <v>648</v>
      </c>
      <c r="D151" s="4">
        <v>19783</v>
      </c>
      <c r="E151" t="s">
        <v>63</v>
      </c>
      <c r="F151" t="s">
        <v>14</v>
      </c>
      <c r="G151">
        <v>327</v>
      </c>
      <c r="H151" s="2">
        <v>14941.36</v>
      </c>
      <c r="I151" t="b">
        <v>1</v>
      </c>
      <c r="J151" s="1">
        <v>44255</v>
      </c>
      <c r="K151" s="3">
        <v>2.8479999999999999</v>
      </c>
      <c r="L151" s="3">
        <v>96.16</v>
      </c>
    </row>
    <row r="152" spans="1:12" x14ac:dyDescent="0.25">
      <c r="A152" t="s">
        <v>649</v>
      </c>
      <c r="B152" t="s">
        <v>650</v>
      </c>
      <c r="C152" t="s">
        <v>651</v>
      </c>
      <c r="D152" s="4">
        <v>592777</v>
      </c>
      <c r="E152" t="s">
        <v>652</v>
      </c>
      <c r="F152" t="s">
        <v>17</v>
      </c>
      <c r="G152">
        <v>346</v>
      </c>
      <c r="H152" s="2">
        <v>13523.13</v>
      </c>
      <c r="I152" t="b">
        <v>0</v>
      </c>
      <c r="J152" s="1">
        <v>45409</v>
      </c>
      <c r="K152" s="3">
        <v>8.7769999999999992</v>
      </c>
      <c r="L152" s="3">
        <v>16.16</v>
      </c>
    </row>
    <row r="153" spans="1:12" x14ac:dyDescent="0.25">
      <c r="A153" t="s">
        <v>653</v>
      </c>
      <c r="B153" t="s">
        <v>654</v>
      </c>
      <c r="C153" t="s">
        <v>831</v>
      </c>
      <c r="D153" s="4">
        <v>7478</v>
      </c>
      <c r="E153" t="s">
        <v>655</v>
      </c>
      <c r="F153" t="s">
        <v>20</v>
      </c>
      <c r="G153">
        <v>308</v>
      </c>
      <c r="H153" s="2">
        <v>34729.96</v>
      </c>
      <c r="I153" t="b">
        <v>0</v>
      </c>
      <c r="J153" s="1">
        <v>44508</v>
      </c>
      <c r="K153" s="3">
        <v>27.507999999999999</v>
      </c>
      <c r="L153" s="3">
        <v>21.34</v>
      </c>
    </row>
    <row r="154" spans="1:12" x14ac:dyDescent="0.25">
      <c r="A154" t="s">
        <v>656</v>
      </c>
      <c r="B154" t="s">
        <v>657</v>
      </c>
      <c r="C154" t="s">
        <v>658</v>
      </c>
      <c r="D154" s="4">
        <v>312151</v>
      </c>
      <c r="E154" t="s">
        <v>26</v>
      </c>
      <c r="F154" t="s">
        <v>3</v>
      </c>
      <c r="G154">
        <v>410</v>
      </c>
      <c r="H154" s="2">
        <v>5751.15</v>
      </c>
      <c r="I154" t="b">
        <v>0</v>
      </c>
      <c r="J154" s="1">
        <v>44777</v>
      </c>
      <c r="K154" s="3">
        <v>3.2010000000000001</v>
      </c>
      <c r="L154" s="3">
        <v>79.25</v>
      </c>
    </row>
    <row r="155" spans="1:12" x14ac:dyDescent="0.25">
      <c r="A155" t="s">
        <v>659</v>
      </c>
      <c r="B155" t="s">
        <v>660</v>
      </c>
      <c r="C155" t="s">
        <v>661</v>
      </c>
      <c r="D155" s="4">
        <v>5130</v>
      </c>
      <c r="E155" t="s">
        <v>8</v>
      </c>
      <c r="F155" t="s">
        <v>2</v>
      </c>
      <c r="G155">
        <v>88</v>
      </c>
      <c r="H155" s="2">
        <v>73677.600000000006</v>
      </c>
      <c r="I155" t="b">
        <v>1</v>
      </c>
      <c r="J155" s="1">
        <v>44755</v>
      </c>
      <c r="K155" s="3">
        <v>26.882999999999999</v>
      </c>
      <c r="L155" s="3">
        <v>69.930000000000007</v>
      </c>
    </row>
    <row r="156" spans="1:12" x14ac:dyDescent="0.25">
      <c r="A156" t="s">
        <v>662</v>
      </c>
      <c r="B156" t="s">
        <v>663</v>
      </c>
      <c r="C156" t="s">
        <v>664</v>
      </c>
      <c r="D156" s="4">
        <v>335344</v>
      </c>
      <c r="E156" t="s">
        <v>221</v>
      </c>
      <c r="F156" t="s">
        <v>38</v>
      </c>
      <c r="G156">
        <v>463</v>
      </c>
      <c r="H156" s="2">
        <v>18650.169999999998</v>
      </c>
      <c r="I156" t="b">
        <v>1</v>
      </c>
      <c r="J156" s="1">
        <v>44331</v>
      </c>
      <c r="K156" s="3">
        <v>3.694</v>
      </c>
      <c r="L156" s="3">
        <v>35.82</v>
      </c>
    </row>
    <row r="157" spans="1:12" x14ac:dyDescent="0.25">
      <c r="A157" t="s">
        <v>665</v>
      </c>
      <c r="B157" t="s">
        <v>666</v>
      </c>
      <c r="C157" t="s">
        <v>667</v>
      </c>
      <c r="D157" s="4" t="s">
        <v>668</v>
      </c>
      <c r="E157" t="s">
        <v>652</v>
      </c>
      <c r="F157" t="s">
        <v>44</v>
      </c>
      <c r="G157">
        <v>413</v>
      </c>
      <c r="H157" s="2">
        <v>82180.23</v>
      </c>
      <c r="I157" t="b">
        <v>0</v>
      </c>
      <c r="J157" s="1">
        <v>45314</v>
      </c>
      <c r="K157" s="3">
        <v>26.321000000000002</v>
      </c>
      <c r="L157" s="3">
        <v>60.51</v>
      </c>
    </row>
    <row r="158" spans="1:12" x14ac:dyDescent="0.25">
      <c r="A158" t="s">
        <v>669</v>
      </c>
      <c r="B158" t="s">
        <v>670</v>
      </c>
      <c r="C158" t="s">
        <v>832</v>
      </c>
      <c r="D158" s="4" t="s">
        <v>671</v>
      </c>
      <c r="E158" t="s">
        <v>672</v>
      </c>
      <c r="F158" t="s">
        <v>23</v>
      </c>
      <c r="G158">
        <v>21</v>
      </c>
      <c r="H158" s="2">
        <v>35319.5</v>
      </c>
      <c r="I158" t="b">
        <v>0</v>
      </c>
      <c r="J158" s="1">
        <v>44999</v>
      </c>
      <c r="K158" s="3">
        <v>25.585000000000001</v>
      </c>
      <c r="L158" s="3">
        <v>67.86</v>
      </c>
    </row>
    <row r="159" spans="1:12" x14ac:dyDescent="0.25">
      <c r="A159" t="s">
        <v>673</v>
      </c>
      <c r="B159" t="s">
        <v>674</v>
      </c>
      <c r="C159" t="s">
        <v>675</v>
      </c>
      <c r="D159" s="4">
        <v>8883</v>
      </c>
      <c r="E159" t="s">
        <v>676</v>
      </c>
      <c r="F159" t="s">
        <v>16</v>
      </c>
      <c r="G159">
        <v>463</v>
      </c>
      <c r="H159" s="2">
        <v>29801.53</v>
      </c>
      <c r="I159" t="b">
        <v>1</v>
      </c>
      <c r="J159" s="1">
        <v>45175</v>
      </c>
      <c r="K159" s="3">
        <v>22.138999999999999</v>
      </c>
      <c r="L159" s="3">
        <v>33.369999999999997</v>
      </c>
    </row>
    <row r="160" spans="1:12" x14ac:dyDescent="0.25">
      <c r="A160" t="s">
        <v>677</v>
      </c>
      <c r="B160" t="s">
        <v>678</v>
      </c>
      <c r="C160" t="s">
        <v>833</v>
      </c>
      <c r="D160" s="4">
        <v>955922</v>
      </c>
      <c r="E160" t="s">
        <v>679</v>
      </c>
      <c r="F160" t="s">
        <v>5</v>
      </c>
      <c r="G160">
        <v>433</v>
      </c>
      <c r="H160" s="2">
        <v>86247.96</v>
      </c>
      <c r="I160" t="b">
        <v>0</v>
      </c>
      <c r="J160" s="1">
        <v>44848</v>
      </c>
      <c r="K160" s="3">
        <v>23.094000000000001</v>
      </c>
      <c r="L160" s="3">
        <v>96.17</v>
      </c>
    </row>
    <row r="161" spans="1:12" x14ac:dyDescent="0.25">
      <c r="A161" t="s">
        <v>680</v>
      </c>
      <c r="B161" t="s">
        <v>681</v>
      </c>
      <c r="C161" t="s">
        <v>682</v>
      </c>
      <c r="D161" s="4">
        <v>187421</v>
      </c>
      <c r="E161" t="s">
        <v>683</v>
      </c>
      <c r="F161" t="s">
        <v>48</v>
      </c>
      <c r="G161">
        <v>345</v>
      </c>
      <c r="H161" s="2">
        <v>35488.400000000001</v>
      </c>
      <c r="I161" t="b">
        <v>0</v>
      </c>
      <c r="J161" s="1">
        <v>45456</v>
      </c>
      <c r="K161" s="3">
        <v>16.486999999999998</v>
      </c>
      <c r="L161" s="3">
        <v>72.680000000000007</v>
      </c>
    </row>
    <row r="162" spans="1:12" x14ac:dyDescent="0.25">
      <c r="A162" t="s">
        <v>684</v>
      </c>
      <c r="B162" t="s">
        <v>685</v>
      </c>
      <c r="C162" t="s">
        <v>686</v>
      </c>
      <c r="D162" s="4">
        <v>268928</v>
      </c>
      <c r="E162" t="s">
        <v>687</v>
      </c>
      <c r="F162" t="s">
        <v>23</v>
      </c>
      <c r="G162">
        <v>456</v>
      </c>
      <c r="H162" s="2">
        <v>55239.21</v>
      </c>
      <c r="I162" t="b">
        <v>0</v>
      </c>
      <c r="J162" s="1">
        <v>44882</v>
      </c>
      <c r="K162" s="3">
        <v>14.5</v>
      </c>
      <c r="L162" s="3">
        <v>30.05</v>
      </c>
    </row>
    <row r="163" spans="1:12" x14ac:dyDescent="0.25">
      <c r="A163" t="s">
        <v>688</v>
      </c>
      <c r="B163" t="s">
        <v>689</v>
      </c>
      <c r="C163" t="s">
        <v>690</v>
      </c>
      <c r="D163" s="4">
        <v>324463</v>
      </c>
      <c r="E163" t="s">
        <v>691</v>
      </c>
      <c r="F163" t="s">
        <v>53</v>
      </c>
      <c r="G163">
        <v>461</v>
      </c>
      <c r="H163" s="2">
        <v>67620.27</v>
      </c>
      <c r="I163" t="b">
        <v>0</v>
      </c>
      <c r="J163" s="1">
        <v>45588</v>
      </c>
      <c r="K163" s="3">
        <v>11.738</v>
      </c>
      <c r="L163" s="3">
        <v>15.8</v>
      </c>
    </row>
    <row r="164" spans="1:12" x14ac:dyDescent="0.25">
      <c r="A164" t="s">
        <v>692</v>
      </c>
      <c r="B164" t="s">
        <v>693</v>
      </c>
      <c r="C164" t="s">
        <v>834</v>
      </c>
      <c r="D164" s="4">
        <v>3517</v>
      </c>
      <c r="E164" t="s">
        <v>694</v>
      </c>
      <c r="F164" t="s">
        <v>3</v>
      </c>
      <c r="G164">
        <v>362</v>
      </c>
      <c r="H164" s="2">
        <v>42845.9</v>
      </c>
      <c r="I164" t="b">
        <v>1</v>
      </c>
      <c r="J164" s="1">
        <v>44863</v>
      </c>
      <c r="K164" s="3">
        <v>24.587</v>
      </c>
      <c r="L164" s="3">
        <v>97.2</v>
      </c>
    </row>
    <row r="165" spans="1:12" x14ac:dyDescent="0.25">
      <c r="A165" t="s">
        <v>695</v>
      </c>
      <c r="B165" t="s">
        <v>696</v>
      </c>
      <c r="C165" t="s">
        <v>697</v>
      </c>
      <c r="D165" s="4">
        <v>172431</v>
      </c>
      <c r="E165" t="s">
        <v>698</v>
      </c>
      <c r="F165" t="s">
        <v>17</v>
      </c>
      <c r="G165">
        <v>151</v>
      </c>
      <c r="H165" s="2">
        <v>51650.16</v>
      </c>
      <c r="I165" t="b">
        <v>0</v>
      </c>
      <c r="J165" s="1">
        <v>44205</v>
      </c>
      <c r="K165" s="3">
        <v>18.323</v>
      </c>
      <c r="L165" s="3">
        <v>26.77</v>
      </c>
    </row>
    <row r="166" spans="1:12" x14ac:dyDescent="0.25">
      <c r="A166" t="s">
        <v>699</v>
      </c>
      <c r="B166" t="s">
        <v>700</v>
      </c>
      <c r="C166" t="s">
        <v>701</v>
      </c>
      <c r="D166" s="4">
        <v>842155</v>
      </c>
      <c r="E166" t="s">
        <v>177</v>
      </c>
      <c r="F166" t="s">
        <v>17</v>
      </c>
      <c r="G166">
        <v>452</v>
      </c>
      <c r="H166" s="2">
        <v>56397.440000000002</v>
      </c>
      <c r="I166" t="b">
        <v>0</v>
      </c>
      <c r="J166" s="1">
        <v>45172</v>
      </c>
      <c r="K166" s="3">
        <v>29.478000000000002</v>
      </c>
      <c r="L166" s="3">
        <v>12.7</v>
      </c>
    </row>
    <row r="167" spans="1:12" x14ac:dyDescent="0.25">
      <c r="A167" t="s">
        <v>702</v>
      </c>
      <c r="B167" t="s">
        <v>703</v>
      </c>
      <c r="C167" t="s">
        <v>704</v>
      </c>
      <c r="D167" s="4">
        <v>373224</v>
      </c>
      <c r="E167" t="s">
        <v>705</v>
      </c>
      <c r="F167" t="s">
        <v>18</v>
      </c>
      <c r="G167">
        <v>68</v>
      </c>
      <c r="H167" s="2">
        <v>42901.51</v>
      </c>
      <c r="I167" t="b">
        <v>1</v>
      </c>
      <c r="J167" s="1">
        <v>44177</v>
      </c>
      <c r="K167" s="3">
        <v>7.2889999999999997</v>
      </c>
      <c r="L167" s="3">
        <v>14.05</v>
      </c>
    </row>
    <row r="168" spans="1:12" x14ac:dyDescent="0.25">
      <c r="A168" t="s">
        <v>706</v>
      </c>
      <c r="B168" t="s">
        <v>707</v>
      </c>
      <c r="C168" t="s">
        <v>708</v>
      </c>
      <c r="D168" s="4">
        <v>9090</v>
      </c>
      <c r="E168" t="s">
        <v>687</v>
      </c>
      <c r="F168" t="s">
        <v>27</v>
      </c>
      <c r="G168">
        <v>53</v>
      </c>
      <c r="H168" s="2">
        <v>87003.39</v>
      </c>
      <c r="I168" t="b">
        <v>0</v>
      </c>
      <c r="J168" s="1">
        <v>45714</v>
      </c>
      <c r="K168" s="3">
        <v>20.077000000000002</v>
      </c>
      <c r="L168" s="3">
        <v>65.37</v>
      </c>
    </row>
    <row r="169" spans="1:12" x14ac:dyDescent="0.25">
      <c r="A169" t="s">
        <v>709</v>
      </c>
      <c r="B169" t="s">
        <v>710</v>
      </c>
      <c r="C169" t="s">
        <v>835</v>
      </c>
      <c r="D169" s="4">
        <v>47138</v>
      </c>
      <c r="E169" t="s">
        <v>265</v>
      </c>
      <c r="F169" t="s">
        <v>34</v>
      </c>
      <c r="G169">
        <v>174</v>
      </c>
      <c r="H169" s="2">
        <v>88422.06</v>
      </c>
      <c r="I169" t="b">
        <v>1</v>
      </c>
      <c r="J169" s="1">
        <v>45443</v>
      </c>
      <c r="K169" s="3">
        <v>20.666</v>
      </c>
      <c r="L169" s="3">
        <v>77.63</v>
      </c>
    </row>
    <row r="170" spans="1:12" x14ac:dyDescent="0.25">
      <c r="A170" t="s">
        <v>711</v>
      </c>
      <c r="B170" t="s">
        <v>712</v>
      </c>
      <c r="C170" t="s">
        <v>713</v>
      </c>
      <c r="D170" s="4">
        <v>514485</v>
      </c>
      <c r="E170" t="s">
        <v>462</v>
      </c>
      <c r="F170" t="s">
        <v>42</v>
      </c>
      <c r="G170">
        <v>400</v>
      </c>
      <c r="H170" s="2">
        <v>62371.5</v>
      </c>
      <c r="I170" t="b">
        <v>0</v>
      </c>
      <c r="J170" s="1">
        <v>45522</v>
      </c>
      <c r="K170" s="3">
        <v>9.202</v>
      </c>
      <c r="L170" s="3">
        <v>55.49</v>
      </c>
    </row>
    <row r="171" spans="1:12" x14ac:dyDescent="0.25">
      <c r="A171" t="s">
        <v>714</v>
      </c>
      <c r="B171" t="s">
        <v>715</v>
      </c>
      <c r="C171" t="s">
        <v>716</v>
      </c>
      <c r="D171" s="4">
        <v>2397</v>
      </c>
      <c r="E171" t="s">
        <v>717</v>
      </c>
      <c r="F171" t="s">
        <v>44</v>
      </c>
      <c r="G171">
        <v>498</v>
      </c>
      <c r="H171" s="2">
        <v>7297.22</v>
      </c>
      <c r="I171" t="b">
        <v>1</v>
      </c>
      <c r="J171" s="1">
        <v>44432</v>
      </c>
      <c r="K171" s="3">
        <v>25.765999999999998</v>
      </c>
      <c r="L171" s="3">
        <v>31.19</v>
      </c>
    </row>
    <row r="172" spans="1:12" x14ac:dyDescent="0.25">
      <c r="A172" t="s">
        <v>718</v>
      </c>
      <c r="B172" t="s">
        <v>719</v>
      </c>
      <c r="C172" t="s">
        <v>836</v>
      </c>
      <c r="D172" s="4">
        <v>13874</v>
      </c>
      <c r="E172" t="s">
        <v>67</v>
      </c>
      <c r="F172" t="s">
        <v>17</v>
      </c>
      <c r="G172">
        <v>369</v>
      </c>
      <c r="H172" s="2">
        <v>70555.59</v>
      </c>
      <c r="I172" t="b">
        <v>1</v>
      </c>
      <c r="J172" s="1">
        <v>45186</v>
      </c>
      <c r="K172" s="3">
        <v>7.7910000000000004</v>
      </c>
      <c r="L172" s="3">
        <v>72.11</v>
      </c>
    </row>
    <row r="173" spans="1:12" x14ac:dyDescent="0.25">
      <c r="A173" t="s">
        <v>720</v>
      </c>
      <c r="B173" t="s">
        <v>721</v>
      </c>
      <c r="C173" t="s">
        <v>837</v>
      </c>
      <c r="D173" s="4">
        <v>30887</v>
      </c>
      <c r="E173" t="s">
        <v>722</v>
      </c>
      <c r="F173" t="s">
        <v>20</v>
      </c>
      <c r="G173">
        <v>289</v>
      </c>
      <c r="H173" s="2">
        <v>24350.75</v>
      </c>
      <c r="I173" t="b">
        <v>0</v>
      </c>
      <c r="J173" s="1">
        <v>45564</v>
      </c>
      <c r="K173" s="3">
        <v>27.827999999999999</v>
      </c>
      <c r="L173" s="3">
        <v>78.13</v>
      </c>
    </row>
    <row r="174" spans="1:12" x14ac:dyDescent="0.25">
      <c r="A174" t="s">
        <v>723</v>
      </c>
      <c r="B174" t="s">
        <v>724</v>
      </c>
      <c r="C174" t="s">
        <v>4</v>
      </c>
      <c r="D174" s="4" t="s">
        <v>725</v>
      </c>
      <c r="E174" t="s">
        <v>41</v>
      </c>
      <c r="F174" t="s">
        <v>34</v>
      </c>
      <c r="G174">
        <v>246</v>
      </c>
      <c r="H174" s="2">
        <v>33631.040000000001</v>
      </c>
      <c r="I174" t="b">
        <v>0</v>
      </c>
      <c r="J174" s="1">
        <v>44000</v>
      </c>
      <c r="K174" s="3">
        <v>28.606000000000002</v>
      </c>
      <c r="L174" s="3">
        <v>29.92</v>
      </c>
    </row>
    <row r="175" spans="1:12" x14ac:dyDescent="0.25">
      <c r="A175" t="s">
        <v>726</v>
      </c>
      <c r="B175" t="s">
        <v>727</v>
      </c>
      <c r="C175" t="s">
        <v>838</v>
      </c>
      <c r="D175" s="4">
        <v>31204</v>
      </c>
      <c r="E175" t="s">
        <v>728</v>
      </c>
      <c r="F175" t="s">
        <v>12</v>
      </c>
      <c r="G175">
        <v>358</v>
      </c>
      <c r="H175" s="2">
        <v>64703.05</v>
      </c>
      <c r="I175" t="b">
        <v>0</v>
      </c>
      <c r="J175" s="1">
        <v>45075</v>
      </c>
      <c r="K175" s="3">
        <v>21.77</v>
      </c>
      <c r="L175" s="3">
        <v>95.13</v>
      </c>
    </row>
    <row r="176" spans="1:12" x14ac:dyDescent="0.25">
      <c r="A176" t="s">
        <v>729</v>
      </c>
      <c r="B176" t="s">
        <v>730</v>
      </c>
      <c r="C176" t="s">
        <v>839</v>
      </c>
      <c r="D176" s="4">
        <v>8417</v>
      </c>
      <c r="E176" t="s">
        <v>69</v>
      </c>
      <c r="F176" t="s">
        <v>71</v>
      </c>
      <c r="G176">
        <v>42</v>
      </c>
      <c r="H176" s="2">
        <v>83696.009999999995</v>
      </c>
      <c r="I176" t="b">
        <v>0</v>
      </c>
      <c r="J176" s="1">
        <v>45238</v>
      </c>
      <c r="K176" s="3">
        <v>3.129</v>
      </c>
      <c r="L176" s="3">
        <v>5.49</v>
      </c>
    </row>
    <row r="177" spans="1:12" x14ac:dyDescent="0.25">
      <c r="A177" t="s">
        <v>731</v>
      </c>
      <c r="B177" t="s">
        <v>732</v>
      </c>
      <c r="C177" t="s">
        <v>733</v>
      </c>
      <c r="D177" s="4">
        <v>272554</v>
      </c>
      <c r="E177" t="s">
        <v>51</v>
      </c>
      <c r="F177" t="s">
        <v>48</v>
      </c>
      <c r="G177">
        <v>138</v>
      </c>
      <c r="H177" s="2">
        <v>45144.24</v>
      </c>
      <c r="I177" t="b">
        <v>1</v>
      </c>
      <c r="J177" s="1">
        <v>44591</v>
      </c>
      <c r="K177" s="3">
        <v>5.7869999999999999</v>
      </c>
      <c r="L177" s="3">
        <v>37.54</v>
      </c>
    </row>
    <row r="178" spans="1:12" x14ac:dyDescent="0.25">
      <c r="A178" t="s">
        <v>734</v>
      </c>
      <c r="B178" t="s">
        <v>735</v>
      </c>
      <c r="C178" t="s">
        <v>736</v>
      </c>
      <c r="D178" s="4">
        <v>9272</v>
      </c>
      <c r="E178" t="s">
        <v>621</v>
      </c>
      <c r="F178" t="s">
        <v>38</v>
      </c>
      <c r="G178">
        <v>406</v>
      </c>
      <c r="H178" s="2">
        <v>6349.19</v>
      </c>
      <c r="I178" t="b">
        <v>1</v>
      </c>
      <c r="J178" s="1">
        <v>44734</v>
      </c>
      <c r="K178" s="3">
        <v>16.763999999999999</v>
      </c>
      <c r="L178" s="3">
        <v>22.42</v>
      </c>
    </row>
    <row r="179" spans="1:12" x14ac:dyDescent="0.25">
      <c r="A179" t="s">
        <v>737</v>
      </c>
      <c r="B179" t="s">
        <v>738</v>
      </c>
      <c r="C179" t="s">
        <v>840</v>
      </c>
      <c r="D179" s="4">
        <v>15788</v>
      </c>
      <c r="E179" t="s">
        <v>739</v>
      </c>
      <c r="F179" t="s">
        <v>19</v>
      </c>
      <c r="G179">
        <v>467</v>
      </c>
      <c r="H179" s="2">
        <v>16035.43</v>
      </c>
      <c r="I179" t="b">
        <v>1</v>
      </c>
      <c r="J179" s="1">
        <v>44114</v>
      </c>
      <c r="K179" s="3">
        <v>9.2759999999999998</v>
      </c>
      <c r="L179" s="3">
        <v>35.04</v>
      </c>
    </row>
    <row r="180" spans="1:12" x14ac:dyDescent="0.25">
      <c r="A180" t="s">
        <v>740</v>
      </c>
      <c r="B180" t="s">
        <v>741</v>
      </c>
      <c r="C180" t="s">
        <v>742</v>
      </c>
      <c r="D180" s="4">
        <v>98651</v>
      </c>
      <c r="E180" t="s">
        <v>743</v>
      </c>
      <c r="F180" t="s">
        <v>42</v>
      </c>
      <c r="G180">
        <v>265</v>
      </c>
      <c r="H180" s="2">
        <v>13242.66</v>
      </c>
      <c r="I180" t="b">
        <v>1</v>
      </c>
      <c r="J180" s="1">
        <v>45523</v>
      </c>
      <c r="K180" s="3">
        <v>6.7779999999999996</v>
      </c>
      <c r="L180" s="3">
        <v>69.22</v>
      </c>
    </row>
    <row r="181" spans="1:12" x14ac:dyDescent="0.25">
      <c r="A181" t="s">
        <v>744</v>
      </c>
      <c r="B181" t="s">
        <v>745</v>
      </c>
      <c r="C181" t="s">
        <v>746</v>
      </c>
      <c r="D181" s="4">
        <v>26384</v>
      </c>
      <c r="E181" t="s">
        <v>43</v>
      </c>
      <c r="F181" t="s">
        <v>64</v>
      </c>
      <c r="G181">
        <v>118</v>
      </c>
      <c r="H181" s="2">
        <v>78029.36</v>
      </c>
      <c r="I181" t="b">
        <v>1</v>
      </c>
      <c r="J181" s="1">
        <v>45441</v>
      </c>
      <c r="K181" s="3">
        <v>24.132999999999999</v>
      </c>
      <c r="L181" s="3">
        <v>0.37</v>
      </c>
    </row>
    <row r="182" spans="1:12" x14ac:dyDescent="0.25">
      <c r="A182" t="s">
        <v>747</v>
      </c>
      <c r="B182" t="s">
        <v>748</v>
      </c>
      <c r="C182" t="s">
        <v>749</v>
      </c>
      <c r="D182" s="4">
        <v>48802</v>
      </c>
      <c r="E182" t="s">
        <v>750</v>
      </c>
      <c r="F182" t="s">
        <v>20</v>
      </c>
      <c r="G182">
        <v>149</v>
      </c>
      <c r="H182" s="2">
        <v>49286.720000000001</v>
      </c>
      <c r="I182" t="b">
        <v>1</v>
      </c>
      <c r="J182" s="1">
        <v>45540</v>
      </c>
      <c r="K182" s="3">
        <v>20.39</v>
      </c>
      <c r="L182" s="3">
        <v>82.14</v>
      </c>
    </row>
    <row r="183" spans="1:12" x14ac:dyDescent="0.25">
      <c r="A183" t="s">
        <v>751</v>
      </c>
      <c r="B183" t="s">
        <v>752</v>
      </c>
      <c r="C183" t="s">
        <v>753</v>
      </c>
      <c r="D183" s="4">
        <v>32219</v>
      </c>
      <c r="E183" t="s">
        <v>754</v>
      </c>
      <c r="F183" t="s">
        <v>2</v>
      </c>
      <c r="G183">
        <v>331</v>
      </c>
      <c r="H183" s="2">
        <v>81192.95</v>
      </c>
      <c r="I183" t="b">
        <v>1</v>
      </c>
      <c r="J183" s="1">
        <v>44888</v>
      </c>
      <c r="K183" s="3">
        <v>12.343999999999999</v>
      </c>
      <c r="L183" s="3">
        <v>2.67</v>
      </c>
    </row>
    <row r="184" spans="1:12" x14ac:dyDescent="0.25">
      <c r="A184" t="s">
        <v>755</v>
      </c>
      <c r="B184" t="s">
        <v>756</v>
      </c>
      <c r="C184" t="s">
        <v>757</v>
      </c>
      <c r="D184" s="4" t="s">
        <v>758</v>
      </c>
      <c r="E184" t="s">
        <v>759</v>
      </c>
      <c r="F184" t="s">
        <v>71</v>
      </c>
      <c r="G184">
        <v>189</v>
      </c>
      <c r="H184" s="2">
        <v>80641.86</v>
      </c>
      <c r="I184" t="b">
        <v>1</v>
      </c>
      <c r="J184" s="1">
        <v>45268</v>
      </c>
      <c r="K184" s="3">
        <v>14.597</v>
      </c>
      <c r="L184" s="3">
        <v>92.03</v>
      </c>
    </row>
    <row r="185" spans="1:12" x14ac:dyDescent="0.25">
      <c r="A185" t="s">
        <v>760</v>
      </c>
      <c r="B185" t="s">
        <v>761</v>
      </c>
      <c r="C185" t="s">
        <v>762</v>
      </c>
      <c r="D185" s="4" t="s">
        <v>763</v>
      </c>
      <c r="E185" t="s">
        <v>764</v>
      </c>
      <c r="F185" t="s">
        <v>71</v>
      </c>
      <c r="G185">
        <v>216</v>
      </c>
      <c r="H185" s="2">
        <v>7813.36</v>
      </c>
      <c r="I185" t="b">
        <v>1</v>
      </c>
      <c r="J185" s="1">
        <v>44501</v>
      </c>
      <c r="K185" s="3">
        <v>13.242000000000001</v>
      </c>
      <c r="L185" s="3">
        <v>75.27</v>
      </c>
    </row>
    <row r="186" spans="1:12" x14ac:dyDescent="0.25">
      <c r="A186" t="s">
        <v>765</v>
      </c>
      <c r="B186" t="s">
        <v>766</v>
      </c>
      <c r="C186" t="s">
        <v>767</v>
      </c>
      <c r="D186" s="4">
        <v>8157</v>
      </c>
      <c r="E186" t="s">
        <v>768</v>
      </c>
      <c r="F186" t="s">
        <v>33</v>
      </c>
      <c r="G186">
        <v>115</v>
      </c>
      <c r="H186" s="2">
        <v>50924.3</v>
      </c>
      <c r="I186" t="b">
        <v>1</v>
      </c>
      <c r="J186" s="1">
        <v>44433</v>
      </c>
      <c r="K186" s="3">
        <v>19.513000000000002</v>
      </c>
      <c r="L186" s="3">
        <v>35.61</v>
      </c>
    </row>
    <row r="187" spans="1:12" x14ac:dyDescent="0.25">
      <c r="A187" t="s">
        <v>769</v>
      </c>
      <c r="B187" t="s">
        <v>770</v>
      </c>
      <c r="C187" t="s">
        <v>771</v>
      </c>
      <c r="D187" s="4">
        <v>9411</v>
      </c>
      <c r="E187" t="s">
        <v>518</v>
      </c>
      <c r="F187" t="s">
        <v>20</v>
      </c>
      <c r="G187">
        <v>205</v>
      </c>
      <c r="H187" s="2">
        <v>63170.44</v>
      </c>
      <c r="I187" t="b">
        <v>1</v>
      </c>
      <c r="J187" s="1">
        <v>44707</v>
      </c>
      <c r="K187" s="3">
        <v>28.434999999999999</v>
      </c>
      <c r="L187" s="3">
        <v>95.82</v>
      </c>
    </row>
    <row r="188" spans="1:12" x14ac:dyDescent="0.25">
      <c r="A188" t="s">
        <v>772</v>
      </c>
      <c r="B188" t="s">
        <v>773</v>
      </c>
      <c r="C188" t="s">
        <v>841</v>
      </c>
      <c r="D188" s="4">
        <v>29163</v>
      </c>
      <c r="E188" t="s">
        <v>62</v>
      </c>
      <c r="F188" t="s">
        <v>61</v>
      </c>
      <c r="G188">
        <v>134</v>
      </c>
      <c r="H188" s="2">
        <v>70471.25</v>
      </c>
      <c r="I188" t="b">
        <v>1</v>
      </c>
      <c r="J188" s="1">
        <v>44827</v>
      </c>
      <c r="K188" s="3">
        <v>16.081</v>
      </c>
      <c r="L188" s="3">
        <v>61.26</v>
      </c>
    </row>
    <row r="189" spans="1:12" x14ac:dyDescent="0.25">
      <c r="A189" t="s">
        <v>774</v>
      </c>
      <c r="B189" t="s">
        <v>775</v>
      </c>
      <c r="C189" t="s">
        <v>776</v>
      </c>
      <c r="D189" s="4">
        <v>968635</v>
      </c>
      <c r="E189" t="s">
        <v>777</v>
      </c>
      <c r="F189" t="s">
        <v>28</v>
      </c>
      <c r="G189">
        <v>114</v>
      </c>
      <c r="H189" s="2">
        <v>37103.4</v>
      </c>
      <c r="I189" t="b">
        <v>1</v>
      </c>
      <c r="J189" s="1">
        <v>45351</v>
      </c>
      <c r="K189" s="3">
        <v>26.465</v>
      </c>
      <c r="L189" s="3">
        <v>92.84</v>
      </c>
    </row>
    <row r="190" spans="1:12" x14ac:dyDescent="0.25">
      <c r="A190" t="s">
        <v>778</v>
      </c>
      <c r="B190" t="s">
        <v>779</v>
      </c>
      <c r="C190" t="s">
        <v>780</v>
      </c>
      <c r="D190" s="4" t="s">
        <v>781</v>
      </c>
      <c r="E190" t="s">
        <v>45</v>
      </c>
      <c r="F190" t="s">
        <v>15</v>
      </c>
      <c r="G190">
        <v>338</v>
      </c>
      <c r="H190" s="2">
        <v>36306.9</v>
      </c>
      <c r="I190" t="b">
        <v>0</v>
      </c>
      <c r="J190" s="1">
        <v>44584</v>
      </c>
      <c r="K190" s="3">
        <v>4.4870000000000001</v>
      </c>
      <c r="L190" s="3">
        <v>49.25</v>
      </c>
    </row>
    <row r="191" spans="1:12" x14ac:dyDescent="0.25">
      <c r="A191" t="s">
        <v>782</v>
      </c>
      <c r="B191" t="s">
        <v>783</v>
      </c>
      <c r="C191" t="s">
        <v>784</v>
      </c>
      <c r="D191" s="4">
        <v>35735</v>
      </c>
      <c r="E191" t="s">
        <v>236</v>
      </c>
      <c r="F191" t="s">
        <v>18</v>
      </c>
      <c r="G191">
        <v>78</v>
      </c>
      <c r="H191" s="2">
        <v>63779.9</v>
      </c>
      <c r="I191" t="b">
        <v>0</v>
      </c>
      <c r="J191" s="1">
        <v>44769</v>
      </c>
      <c r="K191" s="3">
        <v>11.28</v>
      </c>
      <c r="L191" s="3">
        <v>40.5</v>
      </c>
    </row>
    <row r="192" spans="1:12" x14ac:dyDescent="0.25">
      <c r="A192" t="s">
        <v>785</v>
      </c>
      <c r="B192" t="s">
        <v>786</v>
      </c>
      <c r="C192" t="s">
        <v>842</v>
      </c>
      <c r="D192" s="4">
        <v>14288</v>
      </c>
      <c r="E192" t="s">
        <v>255</v>
      </c>
      <c r="F192" t="s">
        <v>53</v>
      </c>
      <c r="G192">
        <v>95</v>
      </c>
      <c r="H192" s="2">
        <v>54071.839999999997</v>
      </c>
      <c r="I192" t="b">
        <v>1</v>
      </c>
      <c r="J192" s="1">
        <v>44795</v>
      </c>
      <c r="K192" s="3">
        <v>23.768000000000001</v>
      </c>
      <c r="L192" s="3">
        <v>30.66</v>
      </c>
    </row>
    <row r="193" spans="1:12" x14ac:dyDescent="0.25">
      <c r="A193" t="s">
        <v>787</v>
      </c>
      <c r="B193" t="s">
        <v>788</v>
      </c>
      <c r="C193" t="s">
        <v>789</v>
      </c>
      <c r="D193" s="4">
        <v>24213</v>
      </c>
      <c r="E193" t="s">
        <v>790</v>
      </c>
      <c r="F193" t="s">
        <v>19</v>
      </c>
      <c r="G193">
        <v>374</v>
      </c>
      <c r="H193" s="2">
        <v>37203.35</v>
      </c>
      <c r="I193" t="b">
        <v>0</v>
      </c>
      <c r="J193" s="1">
        <v>45140</v>
      </c>
      <c r="K193" s="3">
        <v>8.6289999999999996</v>
      </c>
      <c r="L193" s="3">
        <v>97.02</v>
      </c>
    </row>
    <row r="194" spans="1:12" x14ac:dyDescent="0.25">
      <c r="A194" t="s">
        <v>791</v>
      </c>
      <c r="B194" t="s">
        <v>792</v>
      </c>
      <c r="C194" t="s">
        <v>793</v>
      </c>
      <c r="D194" s="4">
        <v>787364</v>
      </c>
      <c r="E194" t="s">
        <v>518</v>
      </c>
      <c r="F194" t="s">
        <v>71</v>
      </c>
      <c r="G194">
        <v>224</v>
      </c>
      <c r="H194" s="2">
        <v>50739.62</v>
      </c>
      <c r="I194" t="b">
        <v>0</v>
      </c>
      <c r="J194" s="1">
        <v>44696</v>
      </c>
      <c r="K194" s="3">
        <v>29.312000000000001</v>
      </c>
      <c r="L194" s="3">
        <v>83.58</v>
      </c>
    </row>
    <row r="195" spans="1:12" x14ac:dyDescent="0.25">
      <c r="A195" t="s">
        <v>794</v>
      </c>
      <c r="B195" t="s">
        <v>795</v>
      </c>
      <c r="C195" t="s">
        <v>796</v>
      </c>
      <c r="D195" s="4">
        <v>27808</v>
      </c>
      <c r="E195" t="s">
        <v>797</v>
      </c>
      <c r="F195" t="s">
        <v>37</v>
      </c>
      <c r="G195">
        <v>350</v>
      </c>
      <c r="H195" s="2">
        <v>38061.58</v>
      </c>
      <c r="I195" t="b">
        <v>1</v>
      </c>
      <c r="J195" s="1">
        <v>45483</v>
      </c>
      <c r="K195" s="3">
        <v>3.1629999999999998</v>
      </c>
      <c r="L195" s="3">
        <v>55.49</v>
      </c>
    </row>
    <row r="196" spans="1:12" x14ac:dyDescent="0.25">
      <c r="A196" t="s">
        <v>798</v>
      </c>
      <c r="B196" t="s">
        <v>799</v>
      </c>
      <c r="C196" t="s">
        <v>800</v>
      </c>
      <c r="D196" s="4">
        <v>67413</v>
      </c>
      <c r="E196" t="s">
        <v>24</v>
      </c>
      <c r="F196" t="s">
        <v>37</v>
      </c>
      <c r="G196">
        <v>77</v>
      </c>
      <c r="H196" s="2">
        <v>26129.51</v>
      </c>
      <c r="I196" t="b">
        <v>1</v>
      </c>
      <c r="J196" s="1">
        <v>44956</v>
      </c>
      <c r="K196" s="3">
        <v>13.414</v>
      </c>
      <c r="L196" s="3">
        <v>67.290000000000006</v>
      </c>
    </row>
    <row r="197" spans="1:12" x14ac:dyDescent="0.25">
      <c r="A197" t="s">
        <v>801</v>
      </c>
      <c r="B197" t="s">
        <v>802</v>
      </c>
      <c r="C197" t="s">
        <v>843</v>
      </c>
      <c r="D197" s="4">
        <v>694943</v>
      </c>
      <c r="E197" t="s">
        <v>425</v>
      </c>
      <c r="F197" t="s">
        <v>17</v>
      </c>
      <c r="G197">
        <v>45</v>
      </c>
      <c r="H197" s="2">
        <v>23005.3</v>
      </c>
      <c r="I197" t="b">
        <v>1</v>
      </c>
      <c r="J197" s="1">
        <v>44841</v>
      </c>
      <c r="K197" s="3">
        <v>8.7829999999999995</v>
      </c>
      <c r="L197" s="3">
        <v>43.91</v>
      </c>
    </row>
    <row r="198" spans="1:12" x14ac:dyDescent="0.25">
      <c r="A198" t="s">
        <v>803</v>
      </c>
      <c r="B198" t="s">
        <v>804</v>
      </c>
      <c r="C198" t="s">
        <v>844</v>
      </c>
      <c r="D198" s="4">
        <v>23958</v>
      </c>
      <c r="E198" t="s">
        <v>805</v>
      </c>
      <c r="F198" t="s">
        <v>17</v>
      </c>
      <c r="G198">
        <v>436</v>
      </c>
      <c r="H198" s="2">
        <v>4118.1499999999996</v>
      </c>
      <c r="I198" t="b">
        <v>0</v>
      </c>
      <c r="J198" s="1">
        <v>45302</v>
      </c>
      <c r="K198" s="3">
        <v>7.0019999999999998</v>
      </c>
      <c r="L198" s="3">
        <v>68.760000000000005</v>
      </c>
    </row>
    <row r="199" spans="1:12" x14ac:dyDescent="0.25">
      <c r="A199" t="s">
        <v>806</v>
      </c>
      <c r="B199" t="s">
        <v>807</v>
      </c>
      <c r="C199" t="s">
        <v>845</v>
      </c>
      <c r="D199" s="4">
        <v>8728</v>
      </c>
      <c r="E199" t="s">
        <v>57</v>
      </c>
      <c r="F199" t="s">
        <v>53</v>
      </c>
      <c r="G199">
        <v>37</v>
      </c>
      <c r="H199" s="2">
        <v>42659.75</v>
      </c>
      <c r="I199" t="b">
        <v>0</v>
      </c>
      <c r="J199" s="1">
        <v>44097</v>
      </c>
      <c r="K199" s="3">
        <v>10.666</v>
      </c>
      <c r="L199" s="3">
        <v>24.87</v>
      </c>
    </row>
    <row r="200" spans="1:12" x14ac:dyDescent="0.25">
      <c r="A200" t="s">
        <v>808</v>
      </c>
      <c r="B200" t="s">
        <v>809</v>
      </c>
      <c r="C200" t="s">
        <v>810</v>
      </c>
      <c r="D200" s="4">
        <v>3522</v>
      </c>
      <c r="E200" t="s">
        <v>811</v>
      </c>
      <c r="F200" t="s">
        <v>13</v>
      </c>
      <c r="G200">
        <v>271</v>
      </c>
      <c r="H200" s="2">
        <v>40457.550000000003</v>
      </c>
      <c r="I200" t="b">
        <v>0</v>
      </c>
      <c r="J200" s="1">
        <v>45496</v>
      </c>
      <c r="K200" s="3">
        <v>14.314</v>
      </c>
      <c r="L200" s="3">
        <v>14.01</v>
      </c>
    </row>
    <row r="201" spans="1:12" x14ac:dyDescent="0.25">
      <c r="A201" t="s">
        <v>812</v>
      </c>
      <c r="B201" t="s">
        <v>813</v>
      </c>
      <c r="C201" t="s">
        <v>814</v>
      </c>
      <c r="D201" s="4">
        <v>22627</v>
      </c>
      <c r="E201" t="s">
        <v>370</v>
      </c>
      <c r="F201" t="s">
        <v>71</v>
      </c>
      <c r="G201">
        <v>322</v>
      </c>
      <c r="H201" s="2">
        <v>30979.24</v>
      </c>
      <c r="I201" t="b">
        <v>1</v>
      </c>
      <c r="J201" s="1">
        <v>45705</v>
      </c>
      <c r="K201" s="3">
        <v>15.427</v>
      </c>
      <c r="L201" s="3">
        <v>50.42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A9D4C-BD73-439F-BF4F-8CCD9B94A2F1}">
  <dimension ref="A1:AI379"/>
  <sheetViews>
    <sheetView tabSelected="1" topLeftCell="Q1" workbookViewId="0">
      <selection activeCell="T4" sqref="T4"/>
    </sheetView>
  </sheetViews>
  <sheetFormatPr defaultRowHeight="15" x14ac:dyDescent="0.25"/>
  <cols>
    <col min="1" max="1" width="20.42578125" bestFit="1" customWidth="1"/>
    <col min="2" max="2" width="18.140625" bestFit="1" customWidth="1"/>
    <col min="3" max="3" width="16.7109375" bestFit="1" customWidth="1"/>
    <col min="4" max="4" width="14.5703125" bestFit="1" customWidth="1"/>
    <col min="5" max="5" width="17.85546875" bestFit="1" customWidth="1"/>
    <col min="9" max="9" width="23" bestFit="1" customWidth="1"/>
    <col min="10" max="10" width="32.85546875" bestFit="1" customWidth="1"/>
    <col min="11" max="11" width="18.140625" bestFit="1" customWidth="1"/>
    <col min="12" max="12" width="18.28515625" bestFit="1" customWidth="1"/>
    <col min="13" max="13" width="18.140625" bestFit="1" customWidth="1"/>
    <col min="14" max="14" width="18.28515625" bestFit="1" customWidth="1"/>
    <col min="15" max="15" width="23.140625" bestFit="1" customWidth="1"/>
    <col min="16" max="16" width="23.28515625" bestFit="1" customWidth="1"/>
    <col min="19" max="19" width="18.140625" bestFit="1" customWidth="1"/>
    <col min="20" max="20" width="13.5703125" bestFit="1" customWidth="1"/>
    <col min="21" max="21" width="12.85546875" bestFit="1" customWidth="1"/>
    <col min="22" max="22" width="18.28515625" bestFit="1" customWidth="1"/>
    <col min="25" max="25" width="29" bestFit="1" customWidth="1"/>
    <col min="26" max="26" width="18.140625" bestFit="1" customWidth="1"/>
    <col min="27" max="27" width="22.42578125" bestFit="1" customWidth="1"/>
    <col min="28" max="28" width="20.7109375" bestFit="1" customWidth="1"/>
    <col min="30" max="30" width="32.85546875" bestFit="1" customWidth="1"/>
    <col min="31" max="31" width="18.140625" bestFit="1" customWidth="1"/>
    <col min="32" max="32" width="16.140625" bestFit="1" customWidth="1"/>
    <col min="34" max="34" width="32.85546875" bestFit="1" customWidth="1"/>
    <col min="35" max="35" width="18.140625" bestFit="1" customWidth="1"/>
    <col min="37" max="37" width="39.7109375" bestFit="1" customWidth="1"/>
    <col min="38" max="38" width="16.85546875" bestFit="1" customWidth="1"/>
    <col min="39" max="40" width="9" bestFit="1" customWidth="1"/>
    <col min="41" max="41" width="6" bestFit="1" customWidth="1"/>
    <col min="42" max="42" width="9" bestFit="1" customWidth="1"/>
    <col min="43" max="43" width="8" bestFit="1" customWidth="1"/>
    <col min="44" max="45" width="9" bestFit="1" customWidth="1"/>
    <col min="46" max="46" width="7" bestFit="1" customWidth="1"/>
    <col min="47" max="49" width="9" bestFit="1" customWidth="1"/>
    <col min="50" max="50" width="8" bestFit="1" customWidth="1"/>
    <col min="51" max="52" width="9" bestFit="1" customWidth="1"/>
    <col min="53" max="53" width="8" bestFit="1" customWidth="1"/>
    <col min="54" max="54" width="9" bestFit="1" customWidth="1"/>
    <col min="55" max="55" width="8" bestFit="1" customWidth="1"/>
    <col min="56" max="56" width="9" bestFit="1" customWidth="1"/>
    <col min="57" max="57" width="8" bestFit="1" customWidth="1"/>
    <col min="58" max="58" width="9" bestFit="1" customWidth="1"/>
    <col min="59" max="59" width="8" bestFit="1" customWidth="1"/>
    <col min="60" max="74" width="9" bestFit="1" customWidth="1"/>
    <col min="75" max="76" width="8" bestFit="1" customWidth="1"/>
    <col min="77" max="82" width="9" bestFit="1" customWidth="1"/>
    <col min="83" max="83" width="8" bestFit="1" customWidth="1"/>
    <col min="84" max="84" width="9" bestFit="1" customWidth="1"/>
    <col min="85" max="86" width="8" bestFit="1" customWidth="1"/>
    <col min="87" max="94" width="9" bestFit="1" customWidth="1"/>
    <col min="95" max="95" width="8" bestFit="1" customWidth="1"/>
    <col min="96" max="107" width="9" bestFit="1" customWidth="1"/>
    <col min="108" max="108" width="8" bestFit="1" customWidth="1"/>
    <col min="109" max="109" width="9" bestFit="1" customWidth="1"/>
    <col min="110" max="110" width="8" bestFit="1" customWidth="1"/>
    <col min="111" max="111" width="9" bestFit="1" customWidth="1"/>
    <col min="112" max="112" width="8" bestFit="1" customWidth="1"/>
    <col min="113" max="115" width="9" bestFit="1" customWidth="1"/>
    <col min="116" max="117" width="8" bestFit="1" customWidth="1"/>
    <col min="118" max="118" width="9" bestFit="1" customWidth="1"/>
    <col min="119" max="119" width="6" bestFit="1" customWidth="1"/>
    <col min="120" max="122" width="9" bestFit="1" customWidth="1"/>
    <col min="123" max="123" width="8" bestFit="1" customWidth="1"/>
    <col min="124" max="125" width="9" bestFit="1" customWidth="1"/>
    <col min="126" max="126" width="8" bestFit="1" customWidth="1"/>
    <col min="127" max="138" width="9" bestFit="1" customWidth="1"/>
    <col min="139" max="139" width="8" bestFit="1" customWidth="1"/>
    <col min="140" max="148" width="9" bestFit="1" customWidth="1"/>
    <col min="149" max="149" width="8" bestFit="1" customWidth="1"/>
    <col min="150" max="155" width="9" bestFit="1" customWidth="1"/>
    <col min="156" max="156" width="8" bestFit="1" customWidth="1"/>
    <col min="157" max="157" width="9" bestFit="1" customWidth="1"/>
    <col min="158" max="158" width="8" bestFit="1" customWidth="1"/>
    <col min="159" max="167" width="9" bestFit="1" customWidth="1"/>
    <col min="168" max="168" width="8" bestFit="1" customWidth="1"/>
    <col min="169" max="169" width="7" bestFit="1" customWidth="1"/>
    <col min="170" max="170" width="8" bestFit="1" customWidth="1"/>
    <col min="171" max="171" width="7" bestFit="1" customWidth="1"/>
    <col min="172" max="173" width="9" bestFit="1" customWidth="1"/>
    <col min="174" max="174" width="8" bestFit="1" customWidth="1"/>
    <col min="175" max="180" width="9" bestFit="1" customWidth="1"/>
    <col min="181" max="182" width="8" bestFit="1" customWidth="1"/>
    <col min="183" max="187" width="9" bestFit="1" customWidth="1"/>
    <col min="188" max="189" width="7" bestFit="1" customWidth="1"/>
    <col min="190" max="190" width="8" bestFit="1" customWidth="1"/>
    <col min="191" max="191" width="9" bestFit="1" customWidth="1"/>
    <col min="192" max="192" width="8" bestFit="1" customWidth="1"/>
    <col min="193" max="195" width="9" bestFit="1" customWidth="1"/>
    <col min="196" max="196" width="11.7109375" bestFit="1" customWidth="1"/>
    <col min="197" max="198" width="9.7109375" bestFit="1" customWidth="1"/>
    <col min="199" max="199" width="11.7109375" bestFit="1" customWidth="1"/>
    <col min="200" max="200" width="9" bestFit="1" customWidth="1"/>
    <col min="201" max="202" width="11.7109375" bestFit="1" customWidth="1"/>
    <col min="203" max="203" width="9.7109375" bestFit="1" customWidth="1"/>
    <col min="204" max="204" width="9" bestFit="1" customWidth="1"/>
    <col min="205" max="205" width="11.7109375" bestFit="1" customWidth="1"/>
    <col min="206" max="206" width="9" bestFit="1" customWidth="1"/>
    <col min="207" max="207" width="8" bestFit="1" customWidth="1"/>
    <col min="208" max="210" width="9.7109375" bestFit="1" customWidth="1"/>
    <col min="211" max="211" width="9" bestFit="1" customWidth="1"/>
    <col min="212" max="213" width="9.7109375" bestFit="1" customWidth="1"/>
    <col min="214" max="214" width="6" bestFit="1" customWidth="1"/>
    <col min="215" max="215" width="9.7109375" bestFit="1" customWidth="1"/>
    <col min="216" max="216" width="9" bestFit="1" customWidth="1"/>
    <col min="217" max="218" width="9.7109375" bestFit="1" customWidth="1"/>
    <col min="219" max="219" width="11.7109375" bestFit="1" customWidth="1"/>
    <col min="220" max="222" width="9.7109375" bestFit="1" customWidth="1"/>
    <col min="223" max="223" width="9" bestFit="1" customWidth="1"/>
    <col min="224" max="224" width="11.7109375" bestFit="1" customWidth="1"/>
    <col min="225" max="226" width="9" bestFit="1" customWidth="1"/>
    <col min="227" max="227" width="8" bestFit="1" customWidth="1"/>
    <col min="228" max="228" width="9" bestFit="1" customWidth="1"/>
    <col min="229" max="229" width="9.42578125" bestFit="1" customWidth="1"/>
    <col min="230" max="230" width="9" bestFit="1" customWidth="1"/>
    <col min="231" max="231" width="10.140625" bestFit="1" customWidth="1"/>
    <col min="232" max="235" width="9" bestFit="1" customWidth="1"/>
    <col min="236" max="237" width="8" bestFit="1" customWidth="1"/>
    <col min="238" max="238" width="11.28515625" bestFit="1" customWidth="1"/>
  </cols>
  <sheetData>
    <row r="1" spans="1:35" x14ac:dyDescent="0.25">
      <c r="A1" s="5" t="s">
        <v>1</v>
      </c>
      <c r="B1" t="s">
        <v>982</v>
      </c>
    </row>
    <row r="3" spans="1:35" x14ac:dyDescent="0.25">
      <c r="A3" s="5" t="s">
        <v>853</v>
      </c>
      <c r="B3" t="s">
        <v>858</v>
      </c>
      <c r="C3" t="s">
        <v>859</v>
      </c>
      <c r="D3" t="s">
        <v>860</v>
      </c>
      <c r="E3" t="s">
        <v>861</v>
      </c>
      <c r="K3" s="5" t="s">
        <v>862</v>
      </c>
      <c r="S3" t="s">
        <v>858</v>
      </c>
      <c r="T3" t="s">
        <v>866</v>
      </c>
      <c r="U3" t="s">
        <v>867</v>
      </c>
      <c r="V3" t="s">
        <v>865</v>
      </c>
      <c r="Y3" s="5" t="s">
        <v>853</v>
      </c>
      <c r="Z3" t="s">
        <v>858</v>
      </c>
      <c r="AA3" t="s">
        <v>868</v>
      </c>
      <c r="AB3" t="s">
        <v>869</v>
      </c>
      <c r="AD3" s="5" t="s">
        <v>853</v>
      </c>
      <c r="AE3" t="s">
        <v>858</v>
      </c>
      <c r="AF3" t="s">
        <v>870</v>
      </c>
      <c r="AH3" s="5" t="s">
        <v>853</v>
      </c>
      <c r="AI3" t="s">
        <v>858</v>
      </c>
    </row>
    <row r="4" spans="1:35" x14ac:dyDescent="0.25">
      <c r="A4" s="6" t="s">
        <v>36</v>
      </c>
      <c r="B4">
        <v>273798.42</v>
      </c>
      <c r="C4">
        <v>16.982199999999999</v>
      </c>
      <c r="D4" s="8">
        <v>2.5000000000000001E-2</v>
      </c>
      <c r="E4">
        <v>5</v>
      </c>
      <c r="K4" t="s">
        <v>855</v>
      </c>
      <c r="M4" t="s">
        <v>856</v>
      </c>
      <c r="O4" t="s">
        <v>863</v>
      </c>
      <c r="P4" t="s">
        <v>864</v>
      </c>
      <c r="S4">
        <v>8996331.0899999999</v>
      </c>
      <c r="T4">
        <v>3727.8809999999994</v>
      </c>
      <c r="U4">
        <v>9689.1300000000065</v>
      </c>
      <c r="V4" s="10">
        <v>9895964</v>
      </c>
      <c r="Y4" s="6" t="s">
        <v>339</v>
      </c>
      <c r="Z4">
        <v>16459.38</v>
      </c>
      <c r="AA4">
        <v>16459.38</v>
      </c>
      <c r="AB4">
        <v>1</v>
      </c>
      <c r="AD4" s="6" t="s">
        <v>36</v>
      </c>
      <c r="AE4">
        <v>273798.42000000004</v>
      </c>
      <c r="AF4">
        <v>51.453999999999994</v>
      </c>
      <c r="AH4" s="6" t="s">
        <v>36</v>
      </c>
    </row>
    <row r="5" spans="1:35" x14ac:dyDescent="0.25">
      <c r="A5" s="7" t="s">
        <v>855</v>
      </c>
      <c r="B5">
        <v>20402.2</v>
      </c>
      <c r="C5">
        <v>24.581</v>
      </c>
      <c r="D5" s="8">
        <v>5.0000000000000001E-3</v>
      </c>
      <c r="E5">
        <v>1</v>
      </c>
      <c r="J5" s="5" t="s">
        <v>853</v>
      </c>
      <c r="K5" t="s">
        <v>858</v>
      </c>
      <c r="L5" t="s">
        <v>865</v>
      </c>
      <c r="M5" t="s">
        <v>858</v>
      </c>
      <c r="N5" t="s">
        <v>865</v>
      </c>
      <c r="Y5" s="6" t="s">
        <v>260</v>
      </c>
      <c r="Z5">
        <v>13864.85</v>
      </c>
      <c r="AA5">
        <v>13864.85</v>
      </c>
      <c r="AB5">
        <v>1</v>
      </c>
      <c r="AD5" s="6" t="s">
        <v>20</v>
      </c>
      <c r="AH5" s="7" t="s">
        <v>51</v>
      </c>
      <c r="AI5">
        <v>60911.33</v>
      </c>
    </row>
    <row r="6" spans="1:35" x14ac:dyDescent="0.25">
      <c r="A6" s="7" t="s">
        <v>856</v>
      </c>
      <c r="B6">
        <v>253396.22000000003</v>
      </c>
      <c r="C6">
        <v>15.0825</v>
      </c>
      <c r="D6" s="8">
        <v>0.02</v>
      </c>
      <c r="E6">
        <v>4</v>
      </c>
      <c r="I6" s="9"/>
      <c r="J6" s="6" t="s">
        <v>36</v>
      </c>
      <c r="K6">
        <v>20402.2</v>
      </c>
      <c r="L6">
        <v>22442</v>
      </c>
      <c r="M6">
        <v>253396.21999999997</v>
      </c>
      <c r="N6">
        <v>278736</v>
      </c>
      <c r="O6">
        <v>273798.42</v>
      </c>
      <c r="P6">
        <v>301178</v>
      </c>
      <c r="Y6" s="6" t="s">
        <v>768</v>
      </c>
      <c r="Z6">
        <v>50924.3</v>
      </c>
      <c r="AA6">
        <v>50924.3</v>
      </c>
      <c r="AB6">
        <v>1</v>
      </c>
      <c r="AD6" s="7" t="s">
        <v>642</v>
      </c>
      <c r="AE6">
        <v>40847.769999999997</v>
      </c>
      <c r="AF6">
        <v>28.52</v>
      </c>
      <c r="AH6" s="7" t="s">
        <v>334</v>
      </c>
      <c r="AI6">
        <v>20402.2</v>
      </c>
    </row>
    <row r="7" spans="1:35" x14ac:dyDescent="0.25">
      <c r="A7" s="6" t="s">
        <v>20</v>
      </c>
      <c r="B7">
        <v>306465.62</v>
      </c>
      <c r="C7">
        <v>23.280714285714282</v>
      </c>
      <c r="D7" s="8">
        <v>3.5000000000000003E-2</v>
      </c>
      <c r="E7">
        <v>7</v>
      </c>
      <c r="J7" s="7" t="s">
        <v>51</v>
      </c>
      <c r="L7">
        <v>0</v>
      </c>
      <c r="M7">
        <v>60911.33</v>
      </c>
      <c r="N7">
        <v>67002</v>
      </c>
      <c r="O7">
        <v>60911.33</v>
      </c>
      <c r="P7">
        <v>67002</v>
      </c>
      <c r="Y7" s="6" t="s">
        <v>236</v>
      </c>
      <c r="Z7">
        <v>169343.28</v>
      </c>
      <c r="AA7">
        <v>56447.76</v>
      </c>
      <c r="AB7">
        <v>3</v>
      </c>
      <c r="AD7" s="7" t="s">
        <v>722</v>
      </c>
      <c r="AE7">
        <v>24350.75</v>
      </c>
      <c r="AF7">
        <v>78.13</v>
      </c>
      <c r="AH7" s="7" t="s">
        <v>120</v>
      </c>
      <c r="AI7">
        <v>86936.95</v>
      </c>
    </row>
    <row r="8" spans="1:35" x14ac:dyDescent="0.25">
      <c r="A8" s="7" t="s">
        <v>855</v>
      </c>
      <c r="B8">
        <v>59080.71</v>
      </c>
      <c r="C8">
        <v>27.667999999999999</v>
      </c>
      <c r="D8" s="8">
        <v>0.01</v>
      </c>
      <c r="E8">
        <v>2</v>
      </c>
      <c r="J8" s="7" t="s">
        <v>334</v>
      </c>
      <c r="K8">
        <v>20402.2</v>
      </c>
      <c r="L8">
        <v>22442</v>
      </c>
      <c r="N8">
        <v>0</v>
      </c>
      <c r="O8">
        <v>20402.2</v>
      </c>
      <c r="P8">
        <v>22442</v>
      </c>
      <c r="Y8" s="6" t="s">
        <v>81</v>
      </c>
      <c r="Z8">
        <v>73875.25</v>
      </c>
      <c r="AA8">
        <v>73875.25</v>
      </c>
      <c r="AB8">
        <v>1</v>
      </c>
      <c r="AD8" s="7" t="s">
        <v>98</v>
      </c>
      <c r="AE8">
        <v>22863.95</v>
      </c>
      <c r="AF8">
        <v>14.44</v>
      </c>
      <c r="AH8" s="7" t="s">
        <v>124</v>
      </c>
      <c r="AI8">
        <v>33997.99</v>
      </c>
    </row>
    <row r="9" spans="1:35" x14ac:dyDescent="0.25">
      <c r="A9" s="7" t="s">
        <v>856</v>
      </c>
      <c r="B9">
        <v>247384.91</v>
      </c>
      <c r="C9">
        <v>21.525799999999997</v>
      </c>
      <c r="D9" s="8">
        <v>2.5000000000000001E-2</v>
      </c>
      <c r="E9">
        <v>5</v>
      </c>
      <c r="J9" s="7" t="s">
        <v>120</v>
      </c>
      <c r="L9">
        <v>0</v>
      </c>
      <c r="M9">
        <v>86936.95</v>
      </c>
      <c r="N9">
        <v>95631</v>
      </c>
      <c r="O9">
        <v>86936.95</v>
      </c>
      <c r="P9">
        <v>95631</v>
      </c>
      <c r="Y9" s="6" t="s">
        <v>617</v>
      </c>
      <c r="Z9">
        <v>32905.53</v>
      </c>
      <c r="AA9">
        <v>32905.53</v>
      </c>
      <c r="AB9">
        <v>1</v>
      </c>
      <c r="AD9" s="7" t="s">
        <v>584</v>
      </c>
      <c r="AE9">
        <v>71216.03</v>
      </c>
      <c r="AF9">
        <v>77.37</v>
      </c>
      <c r="AH9" s="7" t="s">
        <v>273</v>
      </c>
      <c r="AI9">
        <v>71549.95</v>
      </c>
    </row>
    <row r="10" spans="1:35" x14ac:dyDescent="0.25">
      <c r="A10" s="6" t="s">
        <v>18</v>
      </c>
      <c r="B10">
        <v>191279.41</v>
      </c>
      <c r="C10">
        <v>17.061499999999999</v>
      </c>
      <c r="D10" s="8">
        <v>0.03</v>
      </c>
      <c r="E10">
        <v>6</v>
      </c>
      <c r="J10" s="7" t="s">
        <v>124</v>
      </c>
      <c r="L10">
        <v>0</v>
      </c>
      <c r="M10">
        <v>33997.99</v>
      </c>
      <c r="N10">
        <v>37398</v>
      </c>
      <c r="O10">
        <v>33997.99</v>
      </c>
      <c r="P10">
        <v>37398</v>
      </c>
      <c r="Y10" s="6" t="s">
        <v>31</v>
      </c>
      <c r="Z10">
        <v>27932.68</v>
      </c>
      <c r="AA10">
        <v>27932.68</v>
      </c>
      <c r="AB10">
        <v>1</v>
      </c>
      <c r="AD10" s="7" t="s">
        <v>750</v>
      </c>
      <c r="AE10">
        <v>49286.720000000001</v>
      </c>
      <c r="AF10">
        <v>82.14</v>
      </c>
      <c r="AH10" s="6" t="s">
        <v>871</v>
      </c>
      <c r="AI10">
        <v>273798.42</v>
      </c>
    </row>
    <row r="11" spans="1:35" x14ac:dyDescent="0.25">
      <c r="A11" s="7" t="s">
        <v>855</v>
      </c>
      <c r="B11">
        <v>117336.43000000001</v>
      </c>
      <c r="C11">
        <v>20.036333333333335</v>
      </c>
      <c r="D11" s="8">
        <v>1.4999999999999999E-2</v>
      </c>
      <c r="E11">
        <v>3</v>
      </c>
      <c r="J11" s="7" t="s">
        <v>273</v>
      </c>
      <c r="L11">
        <v>0</v>
      </c>
      <c r="M11">
        <v>71549.95</v>
      </c>
      <c r="N11">
        <v>78705</v>
      </c>
      <c r="O11">
        <v>71549.95</v>
      </c>
      <c r="P11">
        <v>78705</v>
      </c>
      <c r="T11">
        <f>GETPIVOTDATA("Sum of Rating",$S$3)</f>
        <v>3727.8809999999994</v>
      </c>
      <c r="Y11" s="6" t="s">
        <v>687</v>
      </c>
      <c r="Z11">
        <v>142242.6</v>
      </c>
      <c r="AA11">
        <v>71121.3</v>
      </c>
      <c r="AB11">
        <v>2</v>
      </c>
      <c r="AD11" s="7" t="s">
        <v>655</v>
      </c>
      <c r="AE11">
        <v>34729.96</v>
      </c>
      <c r="AF11">
        <v>21.34</v>
      </c>
      <c r="AH11" s="6" t="s">
        <v>872</v>
      </c>
      <c r="AI11">
        <v>5</v>
      </c>
    </row>
    <row r="12" spans="1:35" x14ac:dyDescent="0.25">
      <c r="A12" s="7" t="s">
        <v>856</v>
      </c>
      <c r="B12">
        <v>73942.98000000001</v>
      </c>
      <c r="C12">
        <v>14.086666666666668</v>
      </c>
      <c r="D12" s="8">
        <v>1.4999999999999999E-2</v>
      </c>
      <c r="E12">
        <v>3</v>
      </c>
      <c r="J12" s="6" t="s">
        <v>20</v>
      </c>
      <c r="K12">
        <v>59080.71</v>
      </c>
      <c r="L12">
        <v>64989</v>
      </c>
      <c r="M12">
        <v>247384.91</v>
      </c>
      <c r="N12">
        <v>272123</v>
      </c>
      <c r="O12">
        <v>306465.62</v>
      </c>
      <c r="P12">
        <v>337112</v>
      </c>
      <c r="Y12" s="6" t="s">
        <v>57</v>
      </c>
      <c r="Z12">
        <v>42659.75</v>
      </c>
      <c r="AA12">
        <v>42659.75</v>
      </c>
      <c r="AB12">
        <v>1</v>
      </c>
      <c r="AD12" s="7" t="s">
        <v>518</v>
      </c>
      <c r="AE12">
        <v>63170.44</v>
      </c>
      <c r="AF12">
        <v>95.82</v>
      </c>
      <c r="AH12" s="6" t="s">
        <v>873</v>
      </c>
      <c r="AI12">
        <v>54759.683999999994</v>
      </c>
    </row>
    <row r="13" spans="1:35" x14ac:dyDescent="0.25">
      <c r="A13" s="6" t="s">
        <v>47</v>
      </c>
      <c r="B13">
        <v>43822.47</v>
      </c>
      <c r="C13">
        <v>2.262</v>
      </c>
      <c r="D13" s="8">
        <v>0.01</v>
      </c>
      <c r="E13">
        <v>2</v>
      </c>
      <c r="J13" s="7" t="s">
        <v>642</v>
      </c>
      <c r="L13">
        <v>0</v>
      </c>
      <c r="M13">
        <v>40847.769999999997</v>
      </c>
      <c r="N13">
        <v>44933</v>
      </c>
      <c r="O13">
        <v>40847.769999999997</v>
      </c>
      <c r="P13">
        <v>44933</v>
      </c>
      <c r="Y13" s="6" t="s">
        <v>225</v>
      </c>
      <c r="Z13">
        <v>76370.97</v>
      </c>
      <c r="AA13">
        <v>76370.97</v>
      </c>
      <c r="AB13">
        <v>1</v>
      </c>
      <c r="AD13" s="6" t="s">
        <v>18</v>
      </c>
      <c r="AH13" s="6" t="s">
        <v>872</v>
      </c>
      <c r="AI13">
        <v>5</v>
      </c>
    </row>
    <row r="14" spans="1:35" x14ac:dyDescent="0.25">
      <c r="A14" s="7" t="s">
        <v>855</v>
      </c>
      <c r="B14">
        <v>11412.23</v>
      </c>
      <c r="C14">
        <v>2.6480000000000001</v>
      </c>
      <c r="D14" s="8">
        <v>5.0000000000000001E-3</v>
      </c>
      <c r="E14">
        <v>1</v>
      </c>
      <c r="J14" s="7" t="s">
        <v>722</v>
      </c>
      <c r="K14">
        <v>24350.75</v>
      </c>
      <c r="L14">
        <v>26786</v>
      </c>
      <c r="N14">
        <v>0</v>
      </c>
      <c r="O14">
        <v>24350.75</v>
      </c>
      <c r="P14">
        <v>26786</v>
      </c>
      <c r="Y14" s="6" t="s">
        <v>541</v>
      </c>
      <c r="Z14">
        <v>56303.45</v>
      </c>
      <c r="AA14">
        <v>56303.45</v>
      </c>
      <c r="AB14">
        <v>1</v>
      </c>
      <c r="AD14" s="7" t="s">
        <v>236</v>
      </c>
      <c r="AE14">
        <v>63779.9</v>
      </c>
      <c r="AF14">
        <v>40.5</v>
      </c>
      <c r="AH14" s="6" t="s">
        <v>20</v>
      </c>
    </row>
    <row r="15" spans="1:35" x14ac:dyDescent="0.25">
      <c r="A15" s="7" t="s">
        <v>856</v>
      </c>
      <c r="B15">
        <v>32410.240000000002</v>
      </c>
      <c r="C15">
        <v>1.8759999999999999</v>
      </c>
      <c r="D15" s="8">
        <v>5.0000000000000001E-3</v>
      </c>
      <c r="E15">
        <v>1</v>
      </c>
      <c r="J15" s="7" t="s">
        <v>98</v>
      </c>
      <c r="L15">
        <v>0</v>
      </c>
      <c r="M15">
        <v>22863.95</v>
      </c>
      <c r="N15">
        <v>25150</v>
      </c>
      <c r="O15">
        <v>22863.95</v>
      </c>
      <c r="P15">
        <v>25150</v>
      </c>
      <c r="Y15" s="6" t="s">
        <v>705</v>
      </c>
      <c r="Z15">
        <v>42901.51</v>
      </c>
      <c r="AA15">
        <v>42901.51</v>
      </c>
      <c r="AB15">
        <v>1</v>
      </c>
      <c r="AD15" s="7" t="s">
        <v>705</v>
      </c>
      <c r="AE15">
        <v>42901.51</v>
      </c>
      <c r="AF15">
        <v>14.05</v>
      </c>
      <c r="AH15" s="7" t="s">
        <v>642</v>
      </c>
      <c r="AI15">
        <v>40847.769999999997</v>
      </c>
    </row>
    <row r="16" spans="1:35" x14ac:dyDescent="0.25">
      <c r="A16" s="6" t="s">
        <v>38</v>
      </c>
      <c r="B16">
        <v>280213.09000000003</v>
      </c>
      <c r="C16">
        <v>16.940125000000002</v>
      </c>
      <c r="D16" s="8">
        <v>0.04</v>
      </c>
      <c r="E16">
        <v>8</v>
      </c>
      <c r="J16" s="7" t="s">
        <v>584</v>
      </c>
      <c r="L16">
        <v>0</v>
      </c>
      <c r="M16">
        <v>71216.03</v>
      </c>
      <c r="N16">
        <v>78338</v>
      </c>
      <c r="O16">
        <v>71216.03</v>
      </c>
      <c r="P16">
        <v>78338</v>
      </c>
      <c r="Y16" s="6" t="s">
        <v>62</v>
      </c>
      <c r="Z16">
        <v>70471.25</v>
      </c>
      <c r="AA16">
        <v>70471.25</v>
      </c>
      <c r="AB16">
        <v>1</v>
      </c>
      <c r="AD16" s="7" t="s">
        <v>24</v>
      </c>
      <c r="AE16">
        <v>4157.6499999999996</v>
      </c>
      <c r="AF16">
        <v>18.07</v>
      </c>
      <c r="AH16" s="7" t="s">
        <v>722</v>
      </c>
      <c r="AI16">
        <v>24350.75</v>
      </c>
    </row>
    <row r="17" spans="1:35" x14ac:dyDescent="0.25">
      <c r="A17" s="7" t="s">
        <v>855</v>
      </c>
      <c r="B17">
        <v>127469.49</v>
      </c>
      <c r="C17">
        <v>21.172999999999998</v>
      </c>
      <c r="D17" s="8">
        <v>1.4999999999999999E-2</v>
      </c>
      <c r="E17">
        <v>3</v>
      </c>
      <c r="J17" s="7" t="s">
        <v>750</v>
      </c>
      <c r="L17">
        <v>0</v>
      </c>
      <c r="M17">
        <v>49286.720000000001</v>
      </c>
      <c r="N17">
        <v>54215</v>
      </c>
      <c r="O17">
        <v>49286.720000000001</v>
      </c>
      <c r="P17">
        <v>54215</v>
      </c>
      <c r="Y17" s="6" t="s">
        <v>754</v>
      </c>
      <c r="Z17">
        <v>81192.95</v>
      </c>
      <c r="AA17">
        <v>81192.95</v>
      </c>
      <c r="AB17">
        <v>1</v>
      </c>
      <c r="AD17" s="7" t="s">
        <v>451</v>
      </c>
      <c r="AE17">
        <v>2676.8</v>
      </c>
      <c r="AF17">
        <v>62.84</v>
      </c>
      <c r="AH17" s="7" t="s">
        <v>98</v>
      </c>
      <c r="AI17">
        <v>22863.95</v>
      </c>
    </row>
    <row r="18" spans="1:35" x14ac:dyDescent="0.25">
      <c r="A18" s="7" t="s">
        <v>856</v>
      </c>
      <c r="B18">
        <v>152743.59999999998</v>
      </c>
      <c r="C18">
        <v>14.400399999999999</v>
      </c>
      <c r="D18" s="8">
        <v>2.5000000000000001E-2</v>
      </c>
      <c r="E18">
        <v>5</v>
      </c>
      <c r="J18" s="7" t="s">
        <v>655</v>
      </c>
      <c r="K18">
        <v>34729.96</v>
      </c>
      <c r="L18">
        <v>38203</v>
      </c>
      <c r="N18">
        <v>0</v>
      </c>
      <c r="O18">
        <v>34729.96</v>
      </c>
      <c r="P18">
        <v>38203</v>
      </c>
      <c r="Y18" s="6" t="s">
        <v>198</v>
      </c>
      <c r="Z18">
        <v>68436.149999999994</v>
      </c>
      <c r="AA18">
        <v>68436.149999999994</v>
      </c>
      <c r="AB18">
        <v>1</v>
      </c>
      <c r="AD18" s="7" t="s">
        <v>58</v>
      </c>
      <c r="AE18">
        <v>50879.73</v>
      </c>
      <c r="AF18">
        <v>19.48</v>
      </c>
      <c r="AH18" s="7" t="s">
        <v>584</v>
      </c>
      <c r="AI18">
        <v>71216.03</v>
      </c>
    </row>
    <row r="19" spans="1:35" x14ac:dyDescent="0.25">
      <c r="A19" s="6" t="s">
        <v>66</v>
      </c>
      <c r="B19">
        <v>77607.759999999995</v>
      </c>
      <c r="C19">
        <v>18.979500000000002</v>
      </c>
      <c r="D19" s="8">
        <v>0.01</v>
      </c>
      <c r="E19">
        <v>2</v>
      </c>
      <c r="J19" s="7" t="s">
        <v>518</v>
      </c>
      <c r="L19">
        <v>0</v>
      </c>
      <c r="M19">
        <v>63170.44</v>
      </c>
      <c r="N19">
        <v>69487</v>
      </c>
      <c r="O19">
        <v>63170.44</v>
      </c>
      <c r="P19">
        <v>69487</v>
      </c>
      <c r="Y19" s="6" t="s">
        <v>500</v>
      </c>
      <c r="Z19">
        <v>33731.56</v>
      </c>
      <c r="AA19">
        <v>33731.56</v>
      </c>
      <c r="AB19">
        <v>1</v>
      </c>
      <c r="AD19" s="7" t="s">
        <v>106</v>
      </c>
      <c r="AE19">
        <v>26883.82</v>
      </c>
      <c r="AF19">
        <v>15.93</v>
      </c>
      <c r="AH19" s="7" t="s">
        <v>750</v>
      </c>
      <c r="AI19">
        <v>49286.720000000001</v>
      </c>
    </row>
    <row r="20" spans="1:35" x14ac:dyDescent="0.25">
      <c r="A20" s="7" t="s">
        <v>855</v>
      </c>
      <c r="B20">
        <v>77271.08</v>
      </c>
      <c r="C20">
        <v>16.190999999999999</v>
      </c>
      <c r="D20" s="8">
        <v>5.0000000000000001E-3</v>
      </c>
      <c r="E20">
        <v>1</v>
      </c>
      <c r="J20" s="6" t="s">
        <v>18</v>
      </c>
      <c r="K20">
        <v>117336.43</v>
      </c>
      <c r="L20">
        <v>129070</v>
      </c>
      <c r="M20">
        <v>73942.98000000001</v>
      </c>
      <c r="N20">
        <v>81337</v>
      </c>
      <c r="O20">
        <v>191279.41</v>
      </c>
      <c r="P20">
        <v>210407</v>
      </c>
      <c r="Y20" s="6" t="s">
        <v>77</v>
      </c>
      <c r="Z20">
        <v>40060.519999999997</v>
      </c>
      <c r="AA20">
        <v>40060.519999999997</v>
      </c>
      <c r="AB20">
        <v>1</v>
      </c>
      <c r="AD20" s="6" t="s">
        <v>47</v>
      </c>
      <c r="AH20" s="7" t="s">
        <v>655</v>
      </c>
      <c r="AI20">
        <v>34729.96</v>
      </c>
    </row>
    <row r="21" spans="1:35" x14ac:dyDescent="0.25">
      <c r="A21" s="7" t="s">
        <v>856</v>
      </c>
      <c r="B21">
        <v>336.68</v>
      </c>
      <c r="C21">
        <v>21.768000000000001</v>
      </c>
      <c r="D21" s="8">
        <v>5.0000000000000001E-3</v>
      </c>
      <c r="E21">
        <v>1</v>
      </c>
      <c r="J21" s="7" t="s">
        <v>236</v>
      </c>
      <c r="K21">
        <v>63779.9</v>
      </c>
      <c r="L21">
        <v>70158</v>
      </c>
      <c r="N21">
        <v>0</v>
      </c>
      <c r="O21">
        <v>63779.9</v>
      </c>
      <c r="P21">
        <v>70158</v>
      </c>
      <c r="Y21" s="6" t="s">
        <v>35</v>
      </c>
      <c r="Z21">
        <v>62052.89</v>
      </c>
      <c r="AA21">
        <v>62052.89</v>
      </c>
      <c r="AB21">
        <v>1</v>
      </c>
      <c r="AD21" s="7" t="s">
        <v>163</v>
      </c>
      <c r="AE21">
        <v>11412.23</v>
      </c>
      <c r="AF21">
        <v>20.28</v>
      </c>
      <c r="AH21" s="7" t="s">
        <v>518</v>
      </c>
      <c r="AI21">
        <v>63170.44</v>
      </c>
    </row>
    <row r="22" spans="1:35" x14ac:dyDescent="0.25">
      <c r="A22" s="6" t="s">
        <v>5</v>
      </c>
      <c r="B22">
        <v>174773.56</v>
      </c>
      <c r="C22">
        <v>14.1455</v>
      </c>
      <c r="D22" s="8">
        <v>0.01</v>
      </c>
      <c r="E22">
        <v>2</v>
      </c>
      <c r="J22" s="7" t="s">
        <v>705</v>
      </c>
      <c r="L22">
        <v>0</v>
      </c>
      <c r="M22">
        <v>42901.51</v>
      </c>
      <c r="N22">
        <v>47192</v>
      </c>
      <c r="O22">
        <v>42901.51</v>
      </c>
      <c r="P22">
        <v>47192</v>
      </c>
      <c r="Y22" s="6" t="s">
        <v>679</v>
      </c>
      <c r="Z22">
        <v>86247.96</v>
      </c>
      <c r="AA22">
        <v>86247.96</v>
      </c>
      <c r="AB22">
        <v>1</v>
      </c>
      <c r="AD22" s="7" t="s">
        <v>54</v>
      </c>
      <c r="AE22">
        <v>32410.240000000002</v>
      </c>
      <c r="AF22">
        <v>88.43</v>
      </c>
      <c r="AH22" s="6" t="s">
        <v>874</v>
      </c>
      <c r="AI22">
        <v>306465.62</v>
      </c>
    </row>
    <row r="23" spans="1:35" x14ac:dyDescent="0.25">
      <c r="A23" s="7" t="s">
        <v>855</v>
      </c>
      <c r="B23">
        <v>174773.56</v>
      </c>
      <c r="C23">
        <v>14.1455</v>
      </c>
      <c r="D23" s="8">
        <v>0.01</v>
      </c>
      <c r="E23">
        <v>2</v>
      </c>
      <c r="J23" s="7" t="s">
        <v>24</v>
      </c>
      <c r="L23">
        <v>0</v>
      </c>
      <c r="M23">
        <v>4157.6499999999996</v>
      </c>
      <c r="N23">
        <v>4573</v>
      </c>
      <c r="O23">
        <v>4157.6499999999996</v>
      </c>
      <c r="P23">
        <v>4573</v>
      </c>
      <c r="Y23" s="6" t="s">
        <v>68</v>
      </c>
      <c r="Z23">
        <v>60371.920000000006</v>
      </c>
      <c r="AA23">
        <v>30185.960000000003</v>
      </c>
      <c r="AB23">
        <v>2</v>
      </c>
      <c r="AD23" s="6" t="s">
        <v>38</v>
      </c>
      <c r="AH23" s="6" t="s">
        <v>875</v>
      </c>
      <c r="AI23">
        <v>7</v>
      </c>
    </row>
    <row r="24" spans="1:35" x14ac:dyDescent="0.25">
      <c r="A24" s="6" t="s">
        <v>44</v>
      </c>
      <c r="B24">
        <v>151530.34</v>
      </c>
      <c r="C24">
        <v>19.186666666666667</v>
      </c>
      <c r="D24" s="8">
        <v>1.4999999999999999E-2</v>
      </c>
      <c r="E24">
        <v>3</v>
      </c>
      <c r="J24" s="7" t="s">
        <v>451</v>
      </c>
      <c r="K24">
        <v>2676.8</v>
      </c>
      <c r="L24">
        <v>2944</v>
      </c>
      <c r="N24">
        <v>0</v>
      </c>
      <c r="O24">
        <v>2676.8</v>
      </c>
      <c r="P24">
        <v>2944</v>
      </c>
      <c r="Y24" s="6" t="s">
        <v>652</v>
      </c>
      <c r="Z24">
        <v>95703.360000000001</v>
      </c>
      <c r="AA24">
        <v>47851.68</v>
      </c>
      <c r="AB24">
        <v>2</v>
      </c>
      <c r="AD24" s="7" t="s">
        <v>232</v>
      </c>
      <c r="AE24">
        <v>63074.64</v>
      </c>
      <c r="AF24">
        <v>71.47</v>
      </c>
      <c r="AH24" s="6" t="s">
        <v>876</v>
      </c>
      <c r="AI24">
        <v>43780.802857142859</v>
      </c>
    </row>
    <row r="25" spans="1:35" x14ac:dyDescent="0.25">
      <c r="A25" s="7" t="s">
        <v>855</v>
      </c>
      <c r="B25">
        <v>82180.23</v>
      </c>
      <c r="C25">
        <v>26.321000000000002</v>
      </c>
      <c r="D25" s="8">
        <v>5.0000000000000001E-3</v>
      </c>
      <c r="E25">
        <v>1</v>
      </c>
      <c r="J25" s="7" t="s">
        <v>58</v>
      </c>
      <c r="K25">
        <v>50879.73</v>
      </c>
      <c r="L25">
        <v>55968</v>
      </c>
      <c r="N25">
        <v>0</v>
      </c>
      <c r="O25">
        <v>50879.73</v>
      </c>
      <c r="P25">
        <v>55968</v>
      </c>
      <c r="Y25" s="6" t="s">
        <v>493</v>
      </c>
      <c r="Z25">
        <v>54746.71</v>
      </c>
      <c r="AA25">
        <v>54746.71</v>
      </c>
      <c r="AB25">
        <v>1</v>
      </c>
      <c r="AD25" s="7" t="s">
        <v>537</v>
      </c>
      <c r="AE25">
        <v>28625.14</v>
      </c>
      <c r="AF25">
        <v>73.27</v>
      </c>
      <c r="AH25" s="6" t="s">
        <v>875</v>
      </c>
      <c r="AI25">
        <v>7</v>
      </c>
    </row>
    <row r="26" spans="1:35" x14ac:dyDescent="0.25">
      <c r="A26" s="7" t="s">
        <v>856</v>
      </c>
      <c r="B26">
        <v>69350.11</v>
      </c>
      <c r="C26">
        <v>15.619499999999999</v>
      </c>
      <c r="D26" s="8">
        <v>0.01</v>
      </c>
      <c r="E26">
        <v>2</v>
      </c>
      <c r="J26" s="7" t="s">
        <v>106</v>
      </c>
      <c r="L26">
        <v>0</v>
      </c>
      <c r="M26">
        <v>26883.82</v>
      </c>
      <c r="N26">
        <v>29572</v>
      </c>
      <c r="O26">
        <v>26883.82</v>
      </c>
      <c r="P26">
        <v>29572</v>
      </c>
      <c r="Y26" s="6" t="s">
        <v>6</v>
      </c>
      <c r="Z26">
        <v>3619.93</v>
      </c>
      <c r="AA26">
        <v>3619.93</v>
      </c>
      <c r="AB26">
        <v>1</v>
      </c>
      <c r="AD26" s="7" t="s">
        <v>128</v>
      </c>
      <c r="AE26">
        <v>49293.96</v>
      </c>
      <c r="AF26">
        <v>24.09</v>
      </c>
      <c r="AH26" s="6" t="s">
        <v>18</v>
      </c>
    </row>
    <row r="27" spans="1:35" x14ac:dyDescent="0.25">
      <c r="A27" s="6" t="s">
        <v>34</v>
      </c>
      <c r="B27">
        <v>149931.16</v>
      </c>
      <c r="C27">
        <v>23.789249999999999</v>
      </c>
      <c r="D27" s="8">
        <v>0.02</v>
      </c>
      <c r="E27">
        <v>4</v>
      </c>
      <c r="J27" s="6" t="s">
        <v>47</v>
      </c>
      <c r="K27">
        <v>11412.23</v>
      </c>
      <c r="L27">
        <v>12553</v>
      </c>
      <c r="M27">
        <v>32410.240000000002</v>
      </c>
      <c r="N27">
        <v>35651</v>
      </c>
      <c r="O27">
        <v>43822.47</v>
      </c>
      <c r="P27">
        <v>48205</v>
      </c>
      <c r="Y27" s="6" t="s">
        <v>410</v>
      </c>
      <c r="Z27">
        <v>26128.86</v>
      </c>
      <c r="AA27">
        <v>26128.86</v>
      </c>
      <c r="AB27">
        <v>1</v>
      </c>
      <c r="AD27" s="7" t="s">
        <v>352</v>
      </c>
      <c r="AE27">
        <v>35769.71</v>
      </c>
      <c r="AF27">
        <v>11.03</v>
      </c>
      <c r="AH27" s="7" t="s">
        <v>236</v>
      </c>
      <c r="AI27">
        <v>63779.9</v>
      </c>
    </row>
    <row r="28" spans="1:35" x14ac:dyDescent="0.25">
      <c r="A28" s="7" t="s">
        <v>855</v>
      </c>
      <c r="B28">
        <v>33631.040000000001</v>
      </c>
      <c r="C28">
        <v>28.606000000000002</v>
      </c>
      <c r="D28" s="8">
        <v>5.0000000000000001E-3</v>
      </c>
      <c r="E28">
        <v>1</v>
      </c>
      <c r="J28" s="7" t="s">
        <v>163</v>
      </c>
      <c r="K28">
        <v>11412.23</v>
      </c>
      <c r="L28">
        <v>12553</v>
      </c>
      <c r="N28">
        <v>0</v>
      </c>
      <c r="O28">
        <v>11412.23</v>
      </c>
      <c r="P28">
        <v>12553</v>
      </c>
      <c r="Y28" s="6" t="s">
        <v>186</v>
      </c>
      <c r="Z28">
        <v>15735.99</v>
      </c>
      <c r="AA28">
        <v>15735.99</v>
      </c>
      <c r="AB28">
        <v>1</v>
      </c>
      <c r="AD28" s="7" t="s">
        <v>483</v>
      </c>
      <c r="AE28">
        <v>25362.35</v>
      </c>
      <c r="AF28">
        <v>83.62</v>
      </c>
      <c r="AH28" s="7" t="s">
        <v>705</v>
      </c>
      <c r="AI28">
        <v>42901.51</v>
      </c>
    </row>
    <row r="29" spans="1:35" x14ac:dyDescent="0.25">
      <c r="A29" s="7" t="s">
        <v>856</v>
      </c>
      <c r="B29">
        <v>116300.12</v>
      </c>
      <c r="C29">
        <v>22.183666666666667</v>
      </c>
      <c r="D29" s="8">
        <v>1.4999999999999999E-2</v>
      </c>
      <c r="E29">
        <v>3</v>
      </c>
      <c r="J29" s="7" t="s">
        <v>54</v>
      </c>
      <c r="L29">
        <v>0</v>
      </c>
      <c r="M29">
        <v>32410.240000000002</v>
      </c>
      <c r="N29">
        <v>35651</v>
      </c>
      <c r="O29">
        <v>32410.240000000002</v>
      </c>
      <c r="P29">
        <v>35651</v>
      </c>
      <c r="Y29" s="6" t="s">
        <v>232</v>
      </c>
      <c r="Z29">
        <v>63074.64</v>
      </c>
      <c r="AA29">
        <v>63074.64</v>
      </c>
      <c r="AB29">
        <v>1</v>
      </c>
      <c r="AD29" s="7" t="s">
        <v>221</v>
      </c>
      <c r="AE29">
        <v>18650.169999999998</v>
      </c>
      <c r="AF29">
        <v>35.82</v>
      </c>
      <c r="AH29" s="7" t="s">
        <v>24</v>
      </c>
      <c r="AI29">
        <v>4157.6499999999996</v>
      </c>
    </row>
    <row r="30" spans="1:35" x14ac:dyDescent="0.25">
      <c r="A30" s="6" t="s">
        <v>30</v>
      </c>
      <c r="B30">
        <v>210692.81</v>
      </c>
      <c r="C30">
        <v>9.5282500000000017</v>
      </c>
      <c r="D30" s="8">
        <v>0.02</v>
      </c>
      <c r="E30">
        <v>4</v>
      </c>
      <c r="J30" s="6" t="s">
        <v>38</v>
      </c>
      <c r="K30">
        <v>127469.48999999999</v>
      </c>
      <c r="L30">
        <v>140216</v>
      </c>
      <c r="M30">
        <v>152743.6</v>
      </c>
      <c r="N30">
        <v>168018</v>
      </c>
      <c r="O30">
        <v>280213.08999999997</v>
      </c>
      <c r="P30">
        <v>308234</v>
      </c>
      <c r="Y30" s="6" t="s">
        <v>401</v>
      </c>
      <c r="Z30">
        <v>46521.04</v>
      </c>
      <c r="AA30">
        <v>46521.04</v>
      </c>
      <c r="AB30">
        <v>1</v>
      </c>
      <c r="AD30" s="7" t="s">
        <v>621</v>
      </c>
      <c r="AE30">
        <v>6349.19</v>
      </c>
      <c r="AF30">
        <v>22.42</v>
      </c>
      <c r="AH30" s="7" t="s">
        <v>451</v>
      </c>
      <c r="AI30">
        <v>2676.8</v>
      </c>
    </row>
    <row r="31" spans="1:35" x14ac:dyDescent="0.25">
      <c r="A31" s="7" t="s">
        <v>855</v>
      </c>
      <c r="B31">
        <v>101763.35</v>
      </c>
      <c r="C31">
        <v>12.582000000000001</v>
      </c>
      <c r="D31" s="8">
        <v>0.01</v>
      </c>
      <c r="E31">
        <v>2</v>
      </c>
      <c r="J31" s="7" t="s">
        <v>232</v>
      </c>
      <c r="K31">
        <v>63074.64</v>
      </c>
      <c r="L31">
        <v>69382</v>
      </c>
      <c r="N31">
        <v>0</v>
      </c>
      <c r="O31">
        <v>63074.64</v>
      </c>
      <c r="P31">
        <v>69382</v>
      </c>
      <c r="Y31" s="6" t="s">
        <v>70</v>
      </c>
      <c r="Z31">
        <v>123696.19</v>
      </c>
      <c r="AA31">
        <v>61848.095000000001</v>
      </c>
      <c r="AB31">
        <v>2</v>
      </c>
      <c r="AD31" s="7" t="s">
        <v>315</v>
      </c>
      <c r="AE31">
        <v>53087.93</v>
      </c>
      <c r="AF31">
        <v>12.08</v>
      </c>
      <c r="AH31" s="7" t="s">
        <v>58</v>
      </c>
      <c r="AI31">
        <v>50879.73</v>
      </c>
    </row>
    <row r="32" spans="1:35" x14ac:dyDescent="0.25">
      <c r="A32" s="7" t="s">
        <v>856</v>
      </c>
      <c r="B32">
        <v>108929.46</v>
      </c>
      <c r="C32">
        <v>6.4745000000000008</v>
      </c>
      <c r="D32" s="8">
        <v>0.01</v>
      </c>
      <c r="E32">
        <v>2</v>
      </c>
      <c r="J32" s="7" t="s">
        <v>537</v>
      </c>
      <c r="K32">
        <v>28625.14</v>
      </c>
      <c r="L32">
        <v>31488</v>
      </c>
      <c r="N32">
        <v>0</v>
      </c>
      <c r="O32">
        <v>28625.14</v>
      </c>
      <c r="P32">
        <v>31488</v>
      </c>
      <c r="Y32" s="6" t="s">
        <v>50</v>
      </c>
      <c r="Z32">
        <v>85416.21</v>
      </c>
      <c r="AA32">
        <v>85416.21</v>
      </c>
      <c r="AB32">
        <v>1</v>
      </c>
      <c r="AD32" s="6" t="s">
        <v>66</v>
      </c>
      <c r="AH32" s="7" t="s">
        <v>106</v>
      </c>
      <c r="AI32">
        <v>26883.82</v>
      </c>
    </row>
    <row r="33" spans="1:35" x14ac:dyDescent="0.25">
      <c r="A33" s="6" t="s">
        <v>17</v>
      </c>
      <c r="B33">
        <v>219249.77</v>
      </c>
      <c r="C33">
        <v>13.359000000000002</v>
      </c>
      <c r="D33" s="8">
        <v>0.03</v>
      </c>
      <c r="E33">
        <v>6</v>
      </c>
      <c r="J33" s="7" t="s">
        <v>128</v>
      </c>
      <c r="L33">
        <v>0</v>
      </c>
      <c r="M33">
        <v>49293.96</v>
      </c>
      <c r="N33">
        <v>54223</v>
      </c>
      <c r="O33">
        <v>49293.96</v>
      </c>
      <c r="P33">
        <v>54223</v>
      </c>
      <c r="Y33" s="6" t="s">
        <v>191</v>
      </c>
      <c r="Z33">
        <v>35270.660000000003</v>
      </c>
      <c r="AA33">
        <v>35270.660000000003</v>
      </c>
      <c r="AB33">
        <v>1</v>
      </c>
      <c r="AD33" s="7" t="s">
        <v>414</v>
      </c>
      <c r="AE33">
        <v>336.68</v>
      </c>
      <c r="AF33">
        <v>26.04</v>
      </c>
      <c r="AH33" s="6" t="s">
        <v>877</v>
      </c>
      <c r="AI33">
        <v>191279.41</v>
      </c>
    </row>
    <row r="34" spans="1:35" x14ac:dyDescent="0.25">
      <c r="A34" s="7" t="s">
        <v>855</v>
      </c>
      <c r="B34">
        <v>125688.88</v>
      </c>
      <c r="C34">
        <v>15.895000000000001</v>
      </c>
      <c r="D34" s="8">
        <v>0.02</v>
      </c>
      <c r="E34">
        <v>4</v>
      </c>
      <c r="J34" s="7" t="s">
        <v>352</v>
      </c>
      <c r="K34">
        <v>35769.71</v>
      </c>
      <c r="L34">
        <v>39347</v>
      </c>
      <c r="N34">
        <v>0</v>
      </c>
      <c r="O34">
        <v>35769.71</v>
      </c>
      <c r="P34">
        <v>39347</v>
      </c>
      <c r="Y34" s="6" t="s">
        <v>243</v>
      </c>
      <c r="Z34">
        <v>79562.95</v>
      </c>
      <c r="AA34">
        <v>39781.474999999999</v>
      </c>
      <c r="AB34">
        <v>2</v>
      </c>
      <c r="AD34" s="7" t="s">
        <v>59</v>
      </c>
      <c r="AE34">
        <v>77271.08</v>
      </c>
      <c r="AF34">
        <v>36.81</v>
      </c>
      <c r="AH34" s="6" t="s">
        <v>878</v>
      </c>
      <c r="AI34">
        <v>6</v>
      </c>
    </row>
    <row r="35" spans="1:35" x14ac:dyDescent="0.25">
      <c r="A35" s="7" t="s">
        <v>856</v>
      </c>
      <c r="B35">
        <v>93560.89</v>
      </c>
      <c r="C35">
        <v>8.286999999999999</v>
      </c>
      <c r="D35" s="8">
        <v>0.01</v>
      </c>
      <c r="E35">
        <v>2</v>
      </c>
      <c r="J35" s="7" t="s">
        <v>483</v>
      </c>
      <c r="L35">
        <v>0</v>
      </c>
      <c r="M35">
        <v>25362.35</v>
      </c>
      <c r="N35">
        <v>27899</v>
      </c>
      <c r="O35">
        <v>25362.35</v>
      </c>
      <c r="P35">
        <v>27899</v>
      </c>
      <c r="Y35" s="6" t="s">
        <v>728</v>
      </c>
      <c r="Z35">
        <v>64703.05</v>
      </c>
      <c r="AA35">
        <v>64703.05</v>
      </c>
      <c r="AB35">
        <v>1</v>
      </c>
      <c r="AD35" s="6" t="s">
        <v>5</v>
      </c>
      <c r="AH35" s="6" t="s">
        <v>879</v>
      </c>
      <c r="AI35">
        <v>31879.901666666668</v>
      </c>
    </row>
    <row r="36" spans="1:35" x14ac:dyDescent="0.25">
      <c r="A36" s="6" t="s">
        <v>61</v>
      </c>
      <c r="B36">
        <v>427105.9</v>
      </c>
      <c r="C36">
        <v>16.932499999999997</v>
      </c>
      <c r="D36" s="8">
        <v>0.04</v>
      </c>
      <c r="E36">
        <v>8</v>
      </c>
      <c r="J36" s="7" t="s">
        <v>221</v>
      </c>
      <c r="L36">
        <v>0</v>
      </c>
      <c r="M36">
        <v>18650.169999999998</v>
      </c>
      <c r="N36">
        <v>20515</v>
      </c>
      <c r="O36">
        <v>18650.169999999998</v>
      </c>
      <c r="P36">
        <v>20515</v>
      </c>
      <c r="Y36" s="6" t="s">
        <v>110</v>
      </c>
      <c r="Z36">
        <v>48578.11</v>
      </c>
      <c r="AA36">
        <v>48578.11</v>
      </c>
      <c r="AB36">
        <v>1</v>
      </c>
      <c r="AD36" s="7" t="s">
        <v>679</v>
      </c>
      <c r="AE36">
        <v>86247.96</v>
      </c>
      <c r="AF36">
        <v>96.17</v>
      </c>
      <c r="AH36" s="6" t="s">
        <v>878</v>
      </c>
      <c r="AI36">
        <v>6</v>
      </c>
    </row>
    <row r="37" spans="1:35" x14ac:dyDescent="0.25">
      <c r="A37" s="7" t="s">
        <v>855</v>
      </c>
      <c r="B37">
        <v>312622.25</v>
      </c>
      <c r="C37">
        <v>15.968666666666664</v>
      </c>
      <c r="D37" s="8">
        <v>0.03</v>
      </c>
      <c r="E37">
        <v>6</v>
      </c>
      <c r="J37" s="7" t="s">
        <v>621</v>
      </c>
      <c r="L37">
        <v>0</v>
      </c>
      <c r="M37">
        <v>6349.19</v>
      </c>
      <c r="N37">
        <v>6984</v>
      </c>
      <c r="O37">
        <v>6349.19</v>
      </c>
      <c r="P37">
        <v>6984</v>
      </c>
      <c r="Y37" s="6" t="s">
        <v>137</v>
      </c>
      <c r="Z37">
        <v>8729.49</v>
      </c>
      <c r="AA37">
        <v>8729.49</v>
      </c>
      <c r="AB37">
        <v>1</v>
      </c>
      <c r="AD37" s="7" t="s">
        <v>296</v>
      </c>
      <c r="AE37">
        <v>88525.6</v>
      </c>
      <c r="AF37">
        <v>11.57</v>
      </c>
      <c r="AH37" s="6" t="s">
        <v>47</v>
      </c>
    </row>
    <row r="38" spans="1:35" x14ac:dyDescent="0.25">
      <c r="A38" s="7" t="s">
        <v>856</v>
      </c>
      <c r="B38">
        <v>114483.65</v>
      </c>
      <c r="C38">
        <v>19.823999999999998</v>
      </c>
      <c r="D38" s="8">
        <v>0.01</v>
      </c>
      <c r="E38">
        <v>2</v>
      </c>
      <c r="J38" s="7" t="s">
        <v>315</v>
      </c>
      <c r="L38">
        <v>0</v>
      </c>
      <c r="M38">
        <v>53087.93</v>
      </c>
      <c r="N38">
        <v>58397</v>
      </c>
      <c r="O38">
        <v>53087.93</v>
      </c>
      <c r="P38">
        <v>58397</v>
      </c>
      <c r="Y38" s="6" t="s">
        <v>46</v>
      </c>
      <c r="Z38">
        <v>718.49</v>
      </c>
      <c r="AA38">
        <v>718.49</v>
      </c>
      <c r="AB38">
        <v>1</v>
      </c>
      <c r="AD38" s="6" t="s">
        <v>44</v>
      </c>
      <c r="AH38" s="7" t="s">
        <v>163</v>
      </c>
      <c r="AI38">
        <v>11412.23</v>
      </c>
    </row>
    <row r="39" spans="1:35" x14ac:dyDescent="0.25">
      <c r="A39" s="6" t="s">
        <v>22</v>
      </c>
      <c r="B39">
        <v>133536.89000000001</v>
      </c>
      <c r="C39">
        <v>18.178800000000003</v>
      </c>
      <c r="D39" s="8">
        <v>2.5000000000000001E-2</v>
      </c>
      <c r="E39">
        <v>5</v>
      </c>
      <c r="J39" s="6" t="s">
        <v>66</v>
      </c>
      <c r="K39">
        <v>77271.08</v>
      </c>
      <c r="L39">
        <v>84998</v>
      </c>
      <c r="M39">
        <v>336.68</v>
      </c>
      <c r="N39">
        <v>370</v>
      </c>
      <c r="O39">
        <v>77607.759999999995</v>
      </c>
      <c r="P39">
        <v>85369</v>
      </c>
      <c r="Y39" s="6" t="s">
        <v>65</v>
      </c>
      <c r="Z39">
        <v>13302.79</v>
      </c>
      <c r="AA39">
        <v>13302.79</v>
      </c>
      <c r="AB39">
        <v>1</v>
      </c>
      <c r="AD39" s="7" t="s">
        <v>35</v>
      </c>
      <c r="AE39">
        <v>62052.89</v>
      </c>
      <c r="AF39">
        <v>68.3</v>
      </c>
      <c r="AH39" s="7" t="s">
        <v>54</v>
      </c>
      <c r="AI39">
        <v>32410.240000000002</v>
      </c>
    </row>
    <row r="40" spans="1:35" x14ac:dyDescent="0.25">
      <c r="A40" s="7" t="s">
        <v>855</v>
      </c>
      <c r="B40">
        <v>100240.27</v>
      </c>
      <c r="C40">
        <v>19.3505</v>
      </c>
      <c r="D40" s="8">
        <v>0.02</v>
      </c>
      <c r="E40">
        <v>4</v>
      </c>
      <c r="J40" s="7" t="s">
        <v>414</v>
      </c>
      <c r="L40">
        <v>0</v>
      </c>
      <c r="M40">
        <v>336.68</v>
      </c>
      <c r="N40">
        <v>370</v>
      </c>
      <c r="O40">
        <v>336.68</v>
      </c>
      <c r="P40">
        <v>370</v>
      </c>
      <c r="Y40" s="6" t="s">
        <v>790</v>
      </c>
      <c r="Z40">
        <v>37203.35</v>
      </c>
      <c r="AA40">
        <v>37203.35</v>
      </c>
      <c r="AB40">
        <v>1</v>
      </c>
      <c r="AD40" s="7" t="s">
        <v>652</v>
      </c>
      <c r="AE40">
        <v>82180.23</v>
      </c>
      <c r="AF40">
        <v>60.51</v>
      </c>
      <c r="AH40" s="6" t="s">
        <v>880</v>
      </c>
      <c r="AI40">
        <v>43822.47</v>
      </c>
    </row>
    <row r="41" spans="1:35" x14ac:dyDescent="0.25">
      <c r="A41" s="7" t="s">
        <v>856</v>
      </c>
      <c r="B41">
        <v>33296.620000000003</v>
      </c>
      <c r="C41">
        <v>13.492000000000001</v>
      </c>
      <c r="D41" s="8">
        <v>5.0000000000000001E-3</v>
      </c>
      <c r="E41">
        <v>1</v>
      </c>
      <c r="J41" s="7" t="s">
        <v>59</v>
      </c>
      <c r="K41">
        <v>77271.08</v>
      </c>
      <c r="L41">
        <v>84998</v>
      </c>
      <c r="N41">
        <v>0</v>
      </c>
      <c r="O41">
        <v>77271.08</v>
      </c>
      <c r="P41">
        <v>84998</v>
      </c>
      <c r="Y41" s="6" t="s">
        <v>11</v>
      </c>
      <c r="Z41">
        <v>60972.66</v>
      </c>
      <c r="AA41">
        <v>60972.66</v>
      </c>
      <c r="AB41">
        <v>1</v>
      </c>
      <c r="AD41" s="7" t="s">
        <v>717</v>
      </c>
      <c r="AE41">
        <v>7297.22</v>
      </c>
      <c r="AF41">
        <v>31.19</v>
      </c>
      <c r="AH41" s="6" t="s">
        <v>881</v>
      </c>
      <c r="AI41">
        <v>2</v>
      </c>
    </row>
    <row r="42" spans="1:35" x14ac:dyDescent="0.25">
      <c r="A42" s="6" t="s">
        <v>23</v>
      </c>
      <c r="B42">
        <v>330654.13</v>
      </c>
      <c r="C42">
        <v>18.877166666666668</v>
      </c>
      <c r="D42" s="8">
        <v>0.03</v>
      </c>
      <c r="E42">
        <v>6</v>
      </c>
      <c r="J42" s="6" t="s">
        <v>5</v>
      </c>
      <c r="K42">
        <v>174773.56</v>
      </c>
      <c r="L42">
        <v>192251</v>
      </c>
      <c r="N42">
        <v>0</v>
      </c>
      <c r="O42">
        <v>174773.56</v>
      </c>
      <c r="P42">
        <v>192251</v>
      </c>
      <c r="Y42" s="6" t="s">
        <v>39</v>
      </c>
      <c r="Z42">
        <v>38717.9</v>
      </c>
      <c r="AA42">
        <v>38717.9</v>
      </c>
      <c r="AB42">
        <v>1</v>
      </c>
      <c r="AD42" s="6" t="s">
        <v>34</v>
      </c>
      <c r="AH42" s="6" t="s">
        <v>882</v>
      </c>
      <c r="AI42">
        <v>21911.235000000001</v>
      </c>
    </row>
    <row r="43" spans="1:35" x14ac:dyDescent="0.25">
      <c r="A43" s="7" t="s">
        <v>855</v>
      </c>
      <c r="B43">
        <v>296922.57</v>
      </c>
      <c r="C43">
        <v>21.249200000000002</v>
      </c>
      <c r="D43" s="8">
        <v>2.5000000000000001E-2</v>
      </c>
      <c r="E43">
        <v>5</v>
      </c>
      <c r="J43" s="7" t="s">
        <v>679</v>
      </c>
      <c r="K43">
        <v>86247.96</v>
      </c>
      <c r="L43">
        <v>94873</v>
      </c>
      <c r="N43">
        <v>0</v>
      </c>
      <c r="O43">
        <v>86247.96</v>
      </c>
      <c r="P43">
        <v>94873</v>
      </c>
      <c r="Y43" s="6" t="s">
        <v>45</v>
      </c>
      <c r="Z43">
        <v>36306.9</v>
      </c>
      <c r="AA43">
        <v>36306.9</v>
      </c>
      <c r="AB43">
        <v>1</v>
      </c>
      <c r="AD43" s="7" t="s">
        <v>41</v>
      </c>
      <c r="AE43">
        <v>33631.040000000001</v>
      </c>
      <c r="AF43">
        <v>29.92</v>
      </c>
      <c r="AH43" s="6" t="s">
        <v>881</v>
      </c>
      <c r="AI43">
        <v>2</v>
      </c>
    </row>
    <row r="44" spans="1:35" x14ac:dyDescent="0.25">
      <c r="A44" s="7" t="s">
        <v>856</v>
      </c>
      <c r="B44">
        <v>33731.56</v>
      </c>
      <c r="C44">
        <v>7.0170000000000003</v>
      </c>
      <c r="D44" s="8">
        <v>5.0000000000000001E-3</v>
      </c>
      <c r="E44">
        <v>1</v>
      </c>
      <c r="J44" s="7" t="s">
        <v>296</v>
      </c>
      <c r="K44">
        <v>88525.6</v>
      </c>
      <c r="L44">
        <v>97378</v>
      </c>
      <c r="N44">
        <v>0</v>
      </c>
      <c r="O44">
        <v>88525.6</v>
      </c>
      <c r="P44">
        <v>97378</v>
      </c>
      <c r="Y44" s="6" t="s">
        <v>51</v>
      </c>
      <c r="Z44">
        <v>106055.57</v>
      </c>
      <c r="AA44">
        <v>53027.785000000003</v>
      </c>
      <c r="AB44">
        <v>2</v>
      </c>
      <c r="AD44" s="7" t="s">
        <v>265</v>
      </c>
      <c r="AE44">
        <v>88422.06</v>
      </c>
      <c r="AF44">
        <v>77.63</v>
      </c>
      <c r="AH44" s="6" t="s">
        <v>38</v>
      </c>
    </row>
    <row r="45" spans="1:35" x14ac:dyDescent="0.25">
      <c r="A45" s="6" t="s">
        <v>71</v>
      </c>
      <c r="B45">
        <v>363791.64999999997</v>
      </c>
      <c r="C45">
        <v>12.409375000000001</v>
      </c>
      <c r="D45" s="8">
        <v>0.04</v>
      </c>
      <c r="E45">
        <v>8</v>
      </c>
      <c r="J45" s="6" t="s">
        <v>44</v>
      </c>
      <c r="K45">
        <v>82180.23</v>
      </c>
      <c r="L45">
        <v>90398</v>
      </c>
      <c r="M45">
        <v>69350.11</v>
      </c>
      <c r="N45">
        <v>76285</v>
      </c>
      <c r="O45">
        <v>151530.34</v>
      </c>
      <c r="P45">
        <v>166683</v>
      </c>
      <c r="Y45" s="6" t="s">
        <v>537</v>
      </c>
      <c r="Z45">
        <v>28625.14</v>
      </c>
      <c r="AA45">
        <v>28625.14</v>
      </c>
      <c r="AB45">
        <v>1</v>
      </c>
      <c r="AD45" s="7" t="s">
        <v>10</v>
      </c>
      <c r="AE45">
        <v>27306.95</v>
      </c>
      <c r="AF45">
        <v>70.14</v>
      </c>
      <c r="AH45" s="7" t="s">
        <v>232</v>
      </c>
      <c r="AI45">
        <v>63074.64</v>
      </c>
    </row>
    <row r="46" spans="1:35" x14ac:dyDescent="0.25">
      <c r="A46" s="7" t="s">
        <v>855</v>
      </c>
      <c r="B46">
        <v>140265.01999999999</v>
      </c>
      <c r="C46">
        <v>15.925000000000002</v>
      </c>
      <c r="D46" s="8">
        <v>1.4999999999999999E-2</v>
      </c>
      <c r="E46">
        <v>3</v>
      </c>
      <c r="J46" s="7" t="s">
        <v>35</v>
      </c>
      <c r="L46">
        <v>0</v>
      </c>
      <c r="M46">
        <v>62052.89</v>
      </c>
      <c r="N46">
        <v>68258</v>
      </c>
      <c r="O46">
        <v>62052.89</v>
      </c>
      <c r="P46">
        <v>68258</v>
      </c>
      <c r="Y46" s="6" t="s">
        <v>115</v>
      </c>
      <c r="Z46">
        <v>54406.29</v>
      </c>
      <c r="AA46">
        <v>54406.29</v>
      </c>
      <c r="AB46">
        <v>1</v>
      </c>
      <c r="AD46" s="7" t="s">
        <v>56</v>
      </c>
      <c r="AE46">
        <v>571.11</v>
      </c>
      <c r="AF46">
        <v>28.92</v>
      </c>
      <c r="AH46" s="7" t="s">
        <v>537</v>
      </c>
      <c r="AI46">
        <v>28625.14</v>
      </c>
    </row>
    <row r="47" spans="1:35" x14ac:dyDescent="0.25">
      <c r="A47" s="7" t="s">
        <v>856</v>
      </c>
      <c r="B47">
        <v>223526.62999999998</v>
      </c>
      <c r="C47">
        <v>10.3</v>
      </c>
      <c r="D47" s="8">
        <v>2.5000000000000001E-2</v>
      </c>
      <c r="E47">
        <v>5</v>
      </c>
      <c r="J47" s="7" t="s">
        <v>652</v>
      </c>
      <c r="K47">
        <v>82180.23</v>
      </c>
      <c r="L47">
        <v>90398</v>
      </c>
      <c r="N47">
        <v>0</v>
      </c>
      <c r="O47">
        <v>82180.23</v>
      </c>
      <c r="P47">
        <v>90398</v>
      </c>
      <c r="Y47" s="6" t="s">
        <v>533</v>
      </c>
      <c r="Z47">
        <v>1374.12</v>
      </c>
      <c r="AA47">
        <v>1374.12</v>
      </c>
      <c r="AB47">
        <v>1</v>
      </c>
      <c r="AD47" s="6" t="s">
        <v>30</v>
      </c>
      <c r="AH47" s="7" t="s">
        <v>128</v>
      </c>
      <c r="AI47">
        <v>49293.96</v>
      </c>
    </row>
    <row r="48" spans="1:35" x14ac:dyDescent="0.25">
      <c r="A48" s="6" t="s">
        <v>27</v>
      </c>
      <c r="B48">
        <v>87003.39</v>
      </c>
      <c r="C48">
        <v>20.077000000000002</v>
      </c>
      <c r="D48" s="8">
        <v>5.0000000000000001E-3</v>
      </c>
      <c r="E48">
        <v>1</v>
      </c>
      <c r="J48" s="7" t="s">
        <v>717</v>
      </c>
      <c r="L48">
        <v>0</v>
      </c>
      <c r="M48">
        <v>7297.22</v>
      </c>
      <c r="N48">
        <v>8027</v>
      </c>
      <c r="O48">
        <v>7297.22</v>
      </c>
      <c r="P48">
        <v>8027</v>
      </c>
      <c r="Y48" s="6" t="s">
        <v>163</v>
      </c>
      <c r="Z48">
        <v>11412.23</v>
      </c>
      <c r="AA48">
        <v>11412.23</v>
      </c>
      <c r="AB48">
        <v>1</v>
      </c>
      <c r="AD48" s="7" t="s">
        <v>236</v>
      </c>
      <c r="AE48">
        <v>22856.21</v>
      </c>
      <c r="AF48">
        <v>88.86</v>
      </c>
      <c r="AH48" s="7" t="s">
        <v>352</v>
      </c>
      <c r="AI48">
        <v>35769.71</v>
      </c>
    </row>
    <row r="49" spans="1:35" x14ac:dyDescent="0.25">
      <c r="A49" s="7" t="s">
        <v>855</v>
      </c>
      <c r="B49">
        <v>87003.39</v>
      </c>
      <c r="C49">
        <v>20.077000000000002</v>
      </c>
      <c r="D49" s="8">
        <v>5.0000000000000001E-3</v>
      </c>
      <c r="E49">
        <v>1</v>
      </c>
      <c r="J49" s="6" t="s">
        <v>34</v>
      </c>
      <c r="K49">
        <v>33631.040000000001</v>
      </c>
      <c r="L49">
        <v>36994</v>
      </c>
      <c r="M49">
        <v>116300.12</v>
      </c>
      <c r="N49">
        <v>127930</v>
      </c>
      <c r="O49">
        <v>149931.16</v>
      </c>
      <c r="P49">
        <v>164924</v>
      </c>
      <c r="Y49" s="6" t="s">
        <v>458</v>
      </c>
      <c r="Z49">
        <v>12962.91</v>
      </c>
      <c r="AA49">
        <v>12962.91</v>
      </c>
      <c r="AB49">
        <v>1</v>
      </c>
      <c r="AD49" s="7" t="s">
        <v>410</v>
      </c>
      <c r="AE49">
        <v>26128.86</v>
      </c>
      <c r="AF49">
        <v>12.09</v>
      </c>
      <c r="AH49" s="7" t="s">
        <v>483</v>
      </c>
      <c r="AI49">
        <v>25362.35</v>
      </c>
    </row>
    <row r="50" spans="1:35" x14ac:dyDescent="0.25">
      <c r="A50" s="6" t="s">
        <v>53</v>
      </c>
      <c r="B50">
        <v>465881.08000000007</v>
      </c>
      <c r="C50">
        <v>16.0595</v>
      </c>
      <c r="D50" s="8">
        <v>0.04</v>
      </c>
      <c r="E50">
        <v>8</v>
      </c>
      <c r="J50" s="7" t="s">
        <v>41</v>
      </c>
      <c r="K50">
        <v>33631.040000000001</v>
      </c>
      <c r="L50">
        <v>36994</v>
      </c>
      <c r="N50">
        <v>0</v>
      </c>
      <c r="O50">
        <v>33631.040000000001</v>
      </c>
      <c r="P50">
        <v>36994</v>
      </c>
      <c r="Y50" s="6" t="s">
        <v>589</v>
      </c>
      <c r="Z50">
        <v>85264.3</v>
      </c>
      <c r="AA50">
        <v>85264.3</v>
      </c>
      <c r="AB50">
        <v>1</v>
      </c>
      <c r="AD50" s="7" t="s">
        <v>265</v>
      </c>
      <c r="AE50">
        <v>78907.14</v>
      </c>
      <c r="AF50">
        <v>72.459999999999994</v>
      </c>
      <c r="AH50" s="7" t="s">
        <v>221</v>
      </c>
      <c r="AI50">
        <v>18650.169999999998</v>
      </c>
    </row>
    <row r="51" spans="1:35" x14ac:dyDescent="0.25">
      <c r="A51" s="7" t="s">
        <v>855</v>
      </c>
      <c r="B51">
        <v>284134.42000000004</v>
      </c>
      <c r="C51">
        <v>12.6082</v>
      </c>
      <c r="D51" s="8">
        <v>2.5000000000000001E-2</v>
      </c>
      <c r="E51">
        <v>5</v>
      </c>
      <c r="J51" s="7" t="s">
        <v>265</v>
      </c>
      <c r="L51">
        <v>0</v>
      </c>
      <c r="M51">
        <v>88422.06</v>
      </c>
      <c r="N51">
        <v>97264</v>
      </c>
      <c r="O51">
        <v>88422.06</v>
      </c>
      <c r="P51">
        <v>97264</v>
      </c>
      <c r="Y51" s="6" t="s">
        <v>405</v>
      </c>
      <c r="Z51">
        <v>75262.16</v>
      </c>
      <c r="AA51">
        <v>37631.08</v>
      </c>
      <c r="AB51">
        <v>2</v>
      </c>
      <c r="AD51" s="7" t="s">
        <v>88</v>
      </c>
      <c r="AE51">
        <v>82800.600000000006</v>
      </c>
      <c r="AF51">
        <v>52.17</v>
      </c>
      <c r="AH51" s="7" t="s">
        <v>621</v>
      </c>
      <c r="AI51">
        <v>6349.19</v>
      </c>
    </row>
    <row r="52" spans="1:35" x14ac:dyDescent="0.25">
      <c r="A52" s="7" t="s">
        <v>856</v>
      </c>
      <c r="B52">
        <v>181746.66</v>
      </c>
      <c r="C52">
        <v>21.811666666666667</v>
      </c>
      <c r="D52" s="8">
        <v>1.4999999999999999E-2</v>
      </c>
      <c r="E52">
        <v>3</v>
      </c>
      <c r="J52" s="7" t="s">
        <v>10</v>
      </c>
      <c r="L52">
        <v>0</v>
      </c>
      <c r="M52">
        <v>27306.95</v>
      </c>
      <c r="N52">
        <v>30038</v>
      </c>
      <c r="O52">
        <v>27306.95</v>
      </c>
      <c r="P52">
        <v>30038</v>
      </c>
      <c r="Y52" s="6" t="s">
        <v>24</v>
      </c>
      <c r="Z52">
        <v>30287.159999999996</v>
      </c>
      <c r="AA52">
        <v>15143.579999999998</v>
      </c>
      <c r="AB52">
        <v>2</v>
      </c>
      <c r="AD52" s="6" t="s">
        <v>17</v>
      </c>
      <c r="AH52" s="7" t="s">
        <v>315</v>
      </c>
      <c r="AI52">
        <v>53087.93</v>
      </c>
    </row>
    <row r="53" spans="1:35" x14ac:dyDescent="0.25">
      <c r="A53" s="6" t="s">
        <v>14</v>
      </c>
      <c r="B53">
        <v>14941.36</v>
      </c>
      <c r="C53">
        <v>2.8479999999999999</v>
      </c>
      <c r="D53" s="8">
        <v>5.0000000000000001E-3</v>
      </c>
      <c r="E53">
        <v>1</v>
      </c>
      <c r="J53" s="7" t="s">
        <v>56</v>
      </c>
      <c r="L53">
        <v>0</v>
      </c>
      <c r="M53">
        <v>571.11</v>
      </c>
      <c r="N53">
        <v>628</v>
      </c>
      <c r="O53">
        <v>571.11</v>
      </c>
      <c r="P53">
        <v>628</v>
      </c>
      <c r="Y53" s="6" t="s">
        <v>181</v>
      </c>
      <c r="Z53">
        <v>87450</v>
      </c>
      <c r="AA53">
        <v>87450</v>
      </c>
      <c r="AB53">
        <v>1</v>
      </c>
      <c r="AD53" s="7" t="s">
        <v>652</v>
      </c>
      <c r="AE53">
        <v>13523.13</v>
      </c>
      <c r="AF53">
        <v>16.16</v>
      </c>
      <c r="AH53" s="6" t="s">
        <v>883</v>
      </c>
      <c r="AI53">
        <v>280213.08999999997</v>
      </c>
    </row>
    <row r="54" spans="1:35" x14ac:dyDescent="0.25">
      <c r="A54" s="7" t="s">
        <v>856</v>
      </c>
      <c r="B54">
        <v>14941.36</v>
      </c>
      <c r="C54">
        <v>2.8479999999999999</v>
      </c>
      <c r="D54" s="8">
        <v>5.0000000000000001E-3</v>
      </c>
      <c r="E54">
        <v>1</v>
      </c>
      <c r="J54" s="6" t="s">
        <v>30</v>
      </c>
      <c r="K54">
        <v>101763.35</v>
      </c>
      <c r="L54">
        <v>111940</v>
      </c>
      <c r="M54">
        <v>108929.46</v>
      </c>
      <c r="N54">
        <v>119822</v>
      </c>
      <c r="O54">
        <v>210692.81</v>
      </c>
      <c r="P54">
        <v>231762</v>
      </c>
      <c r="Y54" s="6" t="s">
        <v>41</v>
      </c>
      <c r="Z54">
        <v>33631.040000000001</v>
      </c>
      <c r="AA54">
        <v>33631.040000000001</v>
      </c>
      <c r="AB54">
        <v>1</v>
      </c>
      <c r="AD54" s="7" t="s">
        <v>177</v>
      </c>
      <c r="AE54">
        <v>56397.440000000002</v>
      </c>
      <c r="AF54">
        <v>12.7</v>
      </c>
      <c r="AH54" s="6" t="s">
        <v>884</v>
      </c>
      <c r="AI54">
        <v>8</v>
      </c>
    </row>
    <row r="55" spans="1:35" x14ac:dyDescent="0.25">
      <c r="A55" s="6" t="s">
        <v>42</v>
      </c>
      <c r="B55">
        <v>168066.67</v>
      </c>
      <c r="C55">
        <v>11.723000000000001</v>
      </c>
      <c r="D55" s="8">
        <v>0.02</v>
      </c>
      <c r="E55">
        <v>4</v>
      </c>
      <c r="J55" s="7" t="s">
        <v>236</v>
      </c>
      <c r="K55">
        <v>22856.21</v>
      </c>
      <c r="L55">
        <v>25142</v>
      </c>
      <c r="N55">
        <v>0</v>
      </c>
      <c r="O55">
        <v>22856.21</v>
      </c>
      <c r="P55">
        <v>25142</v>
      </c>
      <c r="Y55" s="6" t="s">
        <v>764</v>
      </c>
      <c r="Z55">
        <v>7813.36</v>
      </c>
      <c r="AA55">
        <v>7813.36</v>
      </c>
      <c r="AB55">
        <v>1</v>
      </c>
      <c r="AD55" s="7" t="s">
        <v>698</v>
      </c>
      <c r="AE55">
        <v>51650.16</v>
      </c>
      <c r="AF55">
        <v>26.77</v>
      </c>
      <c r="AH55" s="6" t="s">
        <v>885</v>
      </c>
      <c r="AI55">
        <v>35026.636249999996</v>
      </c>
    </row>
    <row r="56" spans="1:35" x14ac:dyDescent="0.25">
      <c r="A56" s="7" t="s">
        <v>855</v>
      </c>
      <c r="B56">
        <v>116777.79000000001</v>
      </c>
      <c r="C56">
        <v>17.544</v>
      </c>
      <c r="D56" s="8">
        <v>0.01</v>
      </c>
      <c r="E56">
        <v>2</v>
      </c>
      <c r="J56" s="7" t="s">
        <v>410</v>
      </c>
      <c r="L56">
        <v>0</v>
      </c>
      <c r="M56">
        <v>26128.86</v>
      </c>
      <c r="N56">
        <v>28742</v>
      </c>
      <c r="O56">
        <v>26128.86</v>
      </c>
      <c r="P56">
        <v>28742</v>
      </c>
      <c r="Y56" s="6" t="s">
        <v>8</v>
      </c>
      <c r="Z56">
        <v>73677.600000000006</v>
      </c>
      <c r="AA56">
        <v>73677.600000000006</v>
      </c>
      <c r="AB56">
        <v>1</v>
      </c>
      <c r="AD56" s="7" t="s">
        <v>67</v>
      </c>
      <c r="AE56">
        <v>70555.59</v>
      </c>
      <c r="AF56">
        <v>72.11</v>
      </c>
      <c r="AH56" s="6" t="s">
        <v>884</v>
      </c>
      <c r="AI56">
        <v>8</v>
      </c>
    </row>
    <row r="57" spans="1:35" x14ac:dyDescent="0.25">
      <c r="A57" s="7" t="s">
        <v>856</v>
      </c>
      <c r="B57">
        <v>51288.880000000005</v>
      </c>
      <c r="C57">
        <v>5.9019999999999992</v>
      </c>
      <c r="D57" s="8">
        <v>0.01</v>
      </c>
      <c r="E57">
        <v>2</v>
      </c>
      <c r="J57" s="7" t="s">
        <v>265</v>
      </c>
      <c r="K57">
        <v>78907.14</v>
      </c>
      <c r="L57">
        <v>86798</v>
      </c>
      <c r="N57">
        <v>0</v>
      </c>
      <c r="O57">
        <v>78907.14</v>
      </c>
      <c r="P57">
        <v>86798</v>
      </c>
      <c r="Y57" s="6" t="s">
        <v>437</v>
      </c>
      <c r="Z57">
        <v>66029.7</v>
      </c>
      <c r="AA57">
        <v>66029.7</v>
      </c>
      <c r="AB57">
        <v>1</v>
      </c>
      <c r="AD57" s="7" t="s">
        <v>425</v>
      </c>
      <c r="AE57">
        <v>23005.3</v>
      </c>
      <c r="AF57">
        <v>43.91</v>
      </c>
      <c r="AH57" s="6" t="s">
        <v>66</v>
      </c>
    </row>
    <row r="58" spans="1:35" x14ac:dyDescent="0.25">
      <c r="A58" s="6" t="s">
        <v>2</v>
      </c>
      <c r="B58">
        <v>257836.25</v>
      </c>
      <c r="C58">
        <v>14.1792</v>
      </c>
      <c r="D58" s="8">
        <v>2.5000000000000001E-2</v>
      </c>
      <c r="E58">
        <v>5</v>
      </c>
      <c r="J58" s="7" t="s">
        <v>88</v>
      </c>
      <c r="L58">
        <v>0</v>
      </c>
      <c r="M58">
        <v>82800.600000000006</v>
      </c>
      <c r="N58">
        <v>91081</v>
      </c>
      <c r="O58">
        <v>82800.600000000006</v>
      </c>
      <c r="P58">
        <v>91081</v>
      </c>
      <c r="Y58" s="6" t="s">
        <v>55</v>
      </c>
      <c r="Z58">
        <v>62968.51</v>
      </c>
      <c r="AA58">
        <v>62968.51</v>
      </c>
      <c r="AB58">
        <v>1</v>
      </c>
      <c r="AD58" s="7" t="s">
        <v>805</v>
      </c>
      <c r="AE58">
        <v>4118.1499999999996</v>
      </c>
      <c r="AF58">
        <v>68.760000000000005</v>
      </c>
      <c r="AH58" s="7" t="s">
        <v>414</v>
      </c>
      <c r="AI58">
        <v>336.68</v>
      </c>
    </row>
    <row r="59" spans="1:35" x14ac:dyDescent="0.25">
      <c r="A59" s="7" t="s">
        <v>855</v>
      </c>
      <c r="B59">
        <v>89072.52</v>
      </c>
      <c r="C59">
        <v>12.029</v>
      </c>
      <c r="D59" s="8">
        <v>0.01</v>
      </c>
      <c r="E59">
        <v>2</v>
      </c>
      <c r="J59" s="6" t="s">
        <v>17</v>
      </c>
      <c r="K59">
        <v>125688.88</v>
      </c>
      <c r="L59">
        <v>138258</v>
      </c>
      <c r="M59">
        <v>93560.89</v>
      </c>
      <c r="N59">
        <v>102917</v>
      </c>
      <c r="O59">
        <v>219249.77</v>
      </c>
      <c r="P59">
        <v>241175</v>
      </c>
      <c r="Y59" s="6" t="s">
        <v>642</v>
      </c>
      <c r="Z59">
        <v>40847.769999999997</v>
      </c>
      <c r="AA59">
        <v>40847.769999999997</v>
      </c>
      <c r="AB59">
        <v>1</v>
      </c>
      <c r="AD59" s="6" t="s">
        <v>61</v>
      </c>
      <c r="AH59" s="7" t="s">
        <v>59</v>
      </c>
      <c r="AI59">
        <v>77271.08</v>
      </c>
    </row>
    <row r="60" spans="1:35" x14ac:dyDescent="0.25">
      <c r="A60" s="7" t="s">
        <v>856</v>
      </c>
      <c r="B60">
        <v>168763.72999999998</v>
      </c>
      <c r="C60">
        <v>15.612666666666668</v>
      </c>
      <c r="D60" s="8">
        <v>1.4999999999999999E-2</v>
      </c>
      <c r="E60">
        <v>3</v>
      </c>
      <c r="J60" s="7" t="s">
        <v>652</v>
      </c>
      <c r="K60">
        <v>13523.13</v>
      </c>
      <c r="L60">
        <v>14875</v>
      </c>
      <c r="N60">
        <v>0</v>
      </c>
      <c r="O60">
        <v>13523.13</v>
      </c>
      <c r="P60">
        <v>14875</v>
      </c>
      <c r="Y60" s="6" t="s">
        <v>365</v>
      </c>
      <c r="Z60">
        <v>33525.82</v>
      </c>
      <c r="AA60">
        <v>33525.82</v>
      </c>
      <c r="AB60">
        <v>1</v>
      </c>
      <c r="AD60" s="7" t="s">
        <v>236</v>
      </c>
      <c r="AE60">
        <v>82707.17</v>
      </c>
      <c r="AF60">
        <v>18.14</v>
      </c>
      <c r="AH60" s="6" t="s">
        <v>886</v>
      </c>
      <c r="AI60">
        <v>77607.759999999995</v>
      </c>
    </row>
    <row r="61" spans="1:35" x14ac:dyDescent="0.25">
      <c r="A61" s="6" t="s">
        <v>16</v>
      </c>
      <c r="B61">
        <v>178635.77</v>
      </c>
      <c r="C61">
        <v>15.765199999999998</v>
      </c>
      <c r="D61" s="8">
        <v>2.5000000000000001E-2</v>
      </c>
      <c r="E61">
        <v>5</v>
      </c>
      <c r="J61" s="7" t="s">
        <v>177</v>
      </c>
      <c r="K61">
        <v>56397.440000000002</v>
      </c>
      <c r="L61">
        <v>62037</v>
      </c>
      <c r="N61">
        <v>0</v>
      </c>
      <c r="O61">
        <v>56397.440000000002</v>
      </c>
      <c r="P61">
        <v>62037</v>
      </c>
      <c r="Y61" s="6" t="s">
        <v>356</v>
      </c>
      <c r="Z61">
        <v>41410.54</v>
      </c>
      <c r="AA61">
        <v>41410.54</v>
      </c>
      <c r="AB61">
        <v>1</v>
      </c>
      <c r="AD61" s="7" t="s">
        <v>541</v>
      </c>
      <c r="AE61">
        <v>56303.45</v>
      </c>
      <c r="AF61">
        <v>45.28</v>
      </c>
      <c r="AH61" s="6" t="s">
        <v>887</v>
      </c>
      <c r="AI61">
        <v>2</v>
      </c>
    </row>
    <row r="62" spans="1:35" x14ac:dyDescent="0.25">
      <c r="A62" s="7" t="s">
        <v>855</v>
      </c>
      <c r="B62">
        <v>32905.53</v>
      </c>
      <c r="C62">
        <v>18.984999999999999</v>
      </c>
      <c r="D62" s="8">
        <v>5.0000000000000001E-3</v>
      </c>
      <c r="E62">
        <v>1</v>
      </c>
      <c r="J62" s="7" t="s">
        <v>698</v>
      </c>
      <c r="K62">
        <v>51650.16</v>
      </c>
      <c r="L62">
        <v>56815</v>
      </c>
      <c r="N62">
        <v>0</v>
      </c>
      <c r="O62">
        <v>51650.16</v>
      </c>
      <c r="P62">
        <v>56815</v>
      </c>
      <c r="Y62" s="6" t="s">
        <v>177</v>
      </c>
      <c r="Z62">
        <v>59784.55</v>
      </c>
      <c r="AA62">
        <v>29892.275000000001</v>
      </c>
      <c r="AB62">
        <v>2</v>
      </c>
      <c r="AD62" s="7" t="s">
        <v>62</v>
      </c>
      <c r="AE62">
        <v>70471.25</v>
      </c>
      <c r="AF62">
        <v>61.26</v>
      </c>
      <c r="AH62" s="6" t="s">
        <v>888</v>
      </c>
      <c r="AI62">
        <v>38803.879999999997</v>
      </c>
    </row>
    <row r="63" spans="1:35" x14ac:dyDescent="0.25">
      <c r="A63" s="7" t="s">
        <v>856</v>
      </c>
      <c r="B63">
        <v>145730.23999999999</v>
      </c>
      <c r="C63">
        <v>14.960249999999998</v>
      </c>
      <c r="D63" s="8">
        <v>0.02</v>
      </c>
      <c r="E63">
        <v>4</v>
      </c>
      <c r="J63" s="7" t="s">
        <v>67</v>
      </c>
      <c r="L63">
        <v>0</v>
      </c>
      <c r="M63">
        <v>70555.59</v>
      </c>
      <c r="N63">
        <v>77611</v>
      </c>
      <c r="O63">
        <v>70555.59</v>
      </c>
      <c r="P63">
        <v>77611</v>
      </c>
      <c r="Y63" s="6" t="s">
        <v>218</v>
      </c>
      <c r="Z63">
        <v>58974.98</v>
      </c>
      <c r="AA63">
        <v>58974.98</v>
      </c>
      <c r="AB63">
        <v>1</v>
      </c>
      <c r="AD63" s="7" t="s">
        <v>533</v>
      </c>
      <c r="AE63">
        <v>1374.12</v>
      </c>
      <c r="AF63">
        <v>31.28</v>
      </c>
      <c r="AH63" s="6" t="s">
        <v>887</v>
      </c>
      <c r="AI63">
        <v>2</v>
      </c>
    </row>
    <row r="64" spans="1:35" x14ac:dyDescent="0.25">
      <c r="A64" s="6" t="s">
        <v>48</v>
      </c>
      <c r="B64">
        <v>449675.28</v>
      </c>
      <c r="C64">
        <v>12.929555555555558</v>
      </c>
      <c r="D64" s="8">
        <v>4.4999999999999998E-2</v>
      </c>
      <c r="E64">
        <v>9</v>
      </c>
      <c r="J64" s="7" t="s">
        <v>425</v>
      </c>
      <c r="L64">
        <v>0</v>
      </c>
      <c r="M64">
        <v>23005.3</v>
      </c>
      <c r="N64">
        <v>25306</v>
      </c>
      <c r="O64">
        <v>23005.3</v>
      </c>
      <c r="P64">
        <v>25306</v>
      </c>
      <c r="Y64" s="6" t="s">
        <v>466</v>
      </c>
      <c r="Z64">
        <v>87614.3</v>
      </c>
      <c r="AA64">
        <v>87614.3</v>
      </c>
      <c r="AB64">
        <v>1</v>
      </c>
      <c r="AD64" s="7" t="s">
        <v>545</v>
      </c>
      <c r="AE64">
        <v>79167.850000000006</v>
      </c>
      <c r="AF64">
        <v>70.02</v>
      </c>
      <c r="AH64" s="6" t="s">
        <v>5</v>
      </c>
    </row>
    <row r="65" spans="1:35" x14ac:dyDescent="0.25">
      <c r="A65" s="7" t="s">
        <v>855</v>
      </c>
      <c r="B65">
        <v>92796</v>
      </c>
      <c r="C65">
        <v>10.099666666666666</v>
      </c>
      <c r="D65" s="8">
        <v>1.4999999999999999E-2</v>
      </c>
      <c r="E65">
        <v>3</v>
      </c>
      <c r="J65" s="7" t="s">
        <v>805</v>
      </c>
      <c r="K65">
        <v>4118.1499999999996</v>
      </c>
      <c r="L65">
        <v>4530</v>
      </c>
      <c r="N65">
        <v>0</v>
      </c>
      <c r="O65">
        <v>4118.1499999999996</v>
      </c>
      <c r="P65">
        <v>4530</v>
      </c>
      <c r="Y65" s="6" t="s">
        <v>451</v>
      </c>
      <c r="Z65">
        <v>2676.8</v>
      </c>
      <c r="AA65">
        <v>2676.8</v>
      </c>
      <c r="AB65">
        <v>1</v>
      </c>
      <c r="AD65" s="7" t="s">
        <v>221</v>
      </c>
      <c r="AE65">
        <v>21370.29</v>
      </c>
      <c r="AF65">
        <v>98.8</v>
      </c>
      <c r="AH65" s="7" t="s">
        <v>679</v>
      </c>
      <c r="AI65">
        <v>86247.96</v>
      </c>
    </row>
    <row r="66" spans="1:35" x14ac:dyDescent="0.25">
      <c r="A66" s="7" t="s">
        <v>856</v>
      </c>
      <c r="B66">
        <v>356879.28</v>
      </c>
      <c r="C66">
        <v>14.344500000000002</v>
      </c>
      <c r="D66" s="8">
        <v>0.03</v>
      </c>
      <c r="E66">
        <v>6</v>
      </c>
      <c r="J66" s="6" t="s">
        <v>61</v>
      </c>
      <c r="K66">
        <v>312622.25</v>
      </c>
      <c r="L66">
        <v>343884</v>
      </c>
      <c r="M66">
        <v>114483.65</v>
      </c>
      <c r="N66">
        <v>125932</v>
      </c>
      <c r="O66">
        <v>427105.89999999997</v>
      </c>
      <c r="P66">
        <v>469816</v>
      </c>
      <c r="Y66" s="6" t="s">
        <v>49</v>
      </c>
      <c r="Z66">
        <v>88193.17</v>
      </c>
      <c r="AA66">
        <v>88193.17</v>
      </c>
      <c r="AB66">
        <v>1</v>
      </c>
      <c r="AD66" s="7" t="s">
        <v>580</v>
      </c>
      <c r="AE66">
        <v>71699.37</v>
      </c>
      <c r="AF66">
        <v>71.73</v>
      </c>
      <c r="AH66" s="7" t="s">
        <v>296</v>
      </c>
      <c r="AI66">
        <v>88525.6</v>
      </c>
    </row>
    <row r="67" spans="1:35" x14ac:dyDescent="0.25">
      <c r="A67" s="6" t="s">
        <v>37</v>
      </c>
      <c r="B67">
        <v>472984.82000000007</v>
      </c>
      <c r="C67">
        <v>13.861499999999998</v>
      </c>
      <c r="D67" s="8">
        <v>0.05</v>
      </c>
      <c r="E67">
        <v>10</v>
      </c>
      <c r="J67" s="7" t="s">
        <v>236</v>
      </c>
      <c r="K67">
        <v>82707.17</v>
      </c>
      <c r="L67">
        <v>90978</v>
      </c>
      <c r="N67">
        <v>0</v>
      </c>
      <c r="O67">
        <v>82707.17</v>
      </c>
      <c r="P67">
        <v>90978</v>
      </c>
      <c r="Y67" s="6" t="s">
        <v>128</v>
      </c>
      <c r="Z67">
        <v>49293.96</v>
      </c>
      <c r="AA67">
        <v>49293.96</v>
      </c>
      <c r="AB67">
        <v>1</v>
      </c>
      <c r="AD67" s="7" t="s">
        <v>145</v>
      </c>
      <c r="AE67">
        <v>44012.4</v>
      </c>
      <c r="AF67">
        <v>69.62</v>
      </c>
      <c r="AH67" s="6" t="s">
        <v>889</v>
      </c>
      <c r="AI67">
        <v>174773.56</v>
      </c>
    </row>
    <row r="68" spans="1:35" x14ac:dyDescent="0.25">
      <c r="A68" s="7" t="s">
        <v>855</v>
      </c>
      <c r="B68">
        <v>153298.75</v>
      </c>
      <c r="C68">
        <v>11.221333333333334</v>
      </c>
      <c r="D68" s="8">
        <v>1.4999999999999999E-2</v>
      </c>
      <c r="E68">
        <v>3</v>
      </c>
      <c r="J68" s="7" t="s">
        <v>541</v>
      </c>
      <c r="K68">
        <v>56303.45</v>
      </c>
      <c r="L68">
        <v>61934</v>
      </c>
      <c r="N68">
        <v>0</v>
      </c>
      <c r="O68">
        <v>56303.45</v>
      </c>
      <c r="P68">
        <v>61934</v>
      </c>
      <c r="Y68" s="6" t="s">
        <v>167</v>
      </c>
      <c r="Z68">
        <v>22188.53</v>
      </c>
      <c r="AA68">
        <v>22188.53</v>
      </c>
      <c r="AB68">
        <v>1</v>
      </c>
      <c r="AD68" s="6" t="s">
        <v>22</v>
      </c>
      <c r="AH68" s="6" t="s">
        <v>890</v>
      </c>
      <c r="AI68">
        <v>2</v>
      </c>
    </row>
    <row r="69" spans="1:35" x14ac:dyDescent="0.25">
      <c r="A69" s="7" t="s">
        <v>856</v>
      </c>
      <c r="B69">
        <v>319686.07000000007</v>
      </c>
      <c r="C69">
        <v>14.993</v>
      </c>
      <c r="D69" s="8">
        <v>3.5000000000000003E-2</v>
      </c>
      <c r="E69">
        <v>7</v>
      </c>
      <c r="J69" s="7" t="s">
        <v>62</v>
      </c>
      <c r="L69">
        <v>0</v>
      </c>
      <c r="M69">
        <v>70471.25</v>
      </c>
      <c r="N69">
        <v>77518</v>
      </c>
      <c r="O69">
        <v>70471.25</v>
      </c>
      <c r="P69">
        <v>77518</v>
      </c>
      <c r="Y69" s="6" t="s">
        <v>54</v>
      </c>
      <c r="Z69">
        <v>32410.240000000002</v>
      </c>
      <c r="AA69">
        <v>32410.240000000002</v>
      </c>
      <c r="AB69">
        <v>1</v>
      </c>
      <c r="AD69" s="7" t="s">
        <v>260</v>
      </c>
      <c r="AE69">
        <v>13864.85</v>
      </c>
      <c r="AF69">
        <v>16.18</v>
      </c>
      <c r="AH69" s="6" t="s">
        <v>891</v>
      </c>
      <c r="AI69">
        <v>87386.78</v>
      </c>
    </row>
    <row r="70" spans="1:35" x14ac:dyDescent="0.25">
      <c r="A70" s="6" t="s">
        <v>13</v>
      </c>
      <c r="B70">
        <v>427918.63999999996</v>
      </c>
      <c r="C70">
        <v>14.399714285714287</v>
      </c>
      <c r="D70" s="8">
        <v>3.5000000000000003E-2</v>
      </c>
      <c r="E70">
        <v>7</v>
      </c>
      <c r="J70" s="7" t="s">
        <v>533</v>
      </c>
      <c r="K70">
        <v>1374.12</v>
      </c>
      <c r="L70">
        <v>1512</v>
      </c>
      <c r="N70">
        <v>0</v>
      </c>
      <c r="O70">
        <v>1374.12</v>
      </c>
      <c r="P70">
        <v>1512</v>
      </c>
      <c r="Y70" s="6" t="s">
        <v>307</v>
      </c>
      <c r="Z70">
        <v>72390.95</v>
      </c>
      <c r="AA70">
        <v>36195.474999999999</v>
      </c>
      <c r="AB70">
        <v>2</v>
      </c>
      <c r="AD70" s="7" t="s">
        <v>65</v>
      </c>
      <c r="AE70">
        <v>13302.79</v>
      </c>
      <c r="AF70">
        <v>63.45</v>
      </c>
      <c r="AH70" s="6" t="s">
        <v>890</v>
      </c>
      <c r="AI70">
        <v>2</v>
      </c>
    </row>
    <row r="71" spans="1:35" x14ac:dyDescent="0.25">
      <c r="A71" s="7" t="s">
        <v>855</v>
      </c>
      <c r="B71">
        <v>202070.56</v>
      </c>
      <c r="C71">
        <v>15.709249999999999</v>
      </c>
      <c r="D71" s="8">
        <v>0.02</v>
      </c>
      <c r="E71">
        <v>4</v>
      </c>
      <c r="J71" s="7" t="s">
        <v>545</v>
      </c>
      <c r="K71">
        <v>79167.850000000006</v>
      </c>
      <c r="L71">
        <v>87085</v>
      </c>
      <c r="N71">
        <v>0</v>
      </c>
      <c r="O71">
        <v>79167.850000000006</v>
      </c>
      <c r="P71">
        <v>87085</v>
      </c>
      <c r="Y71" s="6" t="s">
        <v>352</v>
      </c>
      <c r="Z71">
        <v>35769.71</v>
      </c>
      <c r="AA71">
        <v>35769.71</v>
      </c>
      <c r="AB71">
        <v>1</v>
      </c>
      <c r="AD71" s="7" t="s">
        <v>10</v>
      </c>
      <c r="AE71">
        <v>40608.43</v>
      </c>
      <c r="AF71">
        <v>99.06</v>
      </c>
      <c r="AH71" s="6" t="s">
        <v>44</v>
      </c>
    </row>
    <row r="72" spans="1:35" x14ac:dyDescent="0.25">
      <c r="A72" s="7" t="s">
        <v>856</v>
      </c>
      <c r="B72">
        <v>225848.08</v>
      </c>
      <c r="C72">
        <v>12.653666666666666</v>
      </c>
      <c r="D72" s="8">
        <v>1.4999999999999999E-2</v>
      </c>
      <c r="E72">
        <v>3</v>
      </c>
      <c r="J72" s="7" t="s">
        <v>221</v>
      </c>
      <c r="K72">
        <v>21370.29</v>
      </c>
      <c r="L72">
        <v>23507</v>
      </c>
      <c r="N72">
        <v>0</v>
      </c>
      <c r="O72">
        <v>21370.29</v>
      </c>
      <c r="P72">
        <v>23507</v>
      </c>
      <c r="Y72" s="6" t="s">
        <v>330</v>
      </c>
      <c r="Z72">
        <v>30923.360000000001</v>
      </c>
      <c r="AA72">
        <v>30923.360000000001</v>
      </c>
      <c r="AB72">
        <v>1</v>
      </c>
      <c r="AD72" s="7" t="s">
        <v>421</v>
      </c>
      <c r="AE72">
        <v>33296.620000000003</v>
      </c>
      <c r="AF72">
        <v>59.12</v>
      </c>
      <c r="AH72" s="7" t="s">
        <v>35</v>
      </c>
      <c r="AI72">
        <v>62052.89</v>
      </c>
    </row>
    <row r="73" spans="1:35" x14ac:dyDescent="0.25">
      <c r="A73" s="6" t="s">
        <v>12</v>
      </c>
      <c r="B73">
        <v>492427.76</v>
      </c>
      <c r="C73">
        <v>17.287399999999998</v>
      </c>
      <c r="D73" s="8">
        <v>0.05</v>
      </c>
      <c r="E73">
        <v>10</v>
      </c>
      <c r="J73" s="7" t="s">
        <v>580</v>
      </c>
      <c r="K73">
        <v>71699.37</v>
      </c>
      <c r="L73">
        <v>78869</v>
      </c>
      <c r="N73">
        <v>0</v>
      </c>
      <c r="O73">
        <v>71699.37</v>
      </c>
      <c r="P73">
        <v>78869</v>
      </c>
      <c r="Y73" s="6" t="s">
        <v>414</v>
      </c>
      <c r="Z73">
        <v>336.68</v>
      </c>
      <c r="AA73">
        <v>336.68</v>
      </c>
      <c r="AB73">
        <v>1</v>
      </c>
      <c r="AD73" s="7" t="s">
        <v>429</v>
      </c>
      <c r="AE73">
        <v>32464.2</v>
      </c>
      <c r="AF73">
        <v>38.64</v>
      </c>
      <c r="AH73" s="7" t="s">
        <v>652</v>
      </c>
      <c r="AI73">
        <v>82180.23</v>
      </c>
    </row>
    <row r="74" spans="1:35" x14ac:dyDescent="0.25">
      <c r="A74" s="7" t="s">
        <v>855</v>
      </c>
      <c r="B74">
        <v>389541.94</v>
      </c>
      <c r="C74">
        <v>16.354142857142858</v>
      </c>
      <c r="D74" s="8">
        <v>3.5000000000000003E-2</v>
      </c>
      <c r="E74">
        <v>7</v>
      </c>
      <c r="J74" s="7" t="s">
        <v>145</v>
      </c>
      <c r="L74">
        <v>0</v>
      </c>
      <c r="M74">
        <v>44012.4</v>
      </c>
      <c r="N74">
        <v>48414</v>
      </c>
      <c r="O74">
        <v>44012.4</v>
      </c>
      <c r="P74">
        <v>48414</v>
      </c>
      <c r="Y74" s="6" t="s">
        <v>360</v>
      </c>
      <c r="Z74">
        <v>16107.59</v>
      </c>
      <c r="AA74">
        <v>16107.59</v>
      </c>
      <c r="AB74">
        <v>1</v>
      </c>
      <c r="AD74" s="6" t="s">
        <v>23</v>
      </c>
      <c r="AH74" s="7" t="s">
        <v>717</v>
      </c>
      <c r="AI74">
        <v>7297.22</v>
      </c>
    </row>
    <row r="75" spans="1:35" x14ac:dyDescent="0.25">
      <c r="A75" s="7" t="s">
        <v>856</v>
      </c>
      <c r="B75">
        <v>102885.81999999999</v>
      </c>
      <c r="C75">
        <v>19.465</v>
      </c>
      <c r="D75" s="8">
        <v>1.4999999999999999E-2</v>
      </c>
      <c r="E75">
        <v>3</v>
      </c>
      <c r="J75" s="6" t="s">
        <v>22</v>
      </c>
      <c r="K75">
        <v>100240.27</v>
      </c>
      <c r="L75">
        <v>110264</v>
      </c>
      <c r="M75">
        <v>33296.620000000003</v>
      </c>
      <c r="N75">
        <v>36626</v>
      </c>
      <c r="O75">
        <v>133536.89000000001</v>
      </c>
      <c r="P75">
        <v>146891</v>
      </c>
      <c r="Y75" s="6" t="s">
        <v>63</v>
      </c>
      <c r="Z75">
        <v>14941.36</v>
      </c>
      <c r="AA75">
        <v>14941.36</v>
      </c>
      <c r="AB75">
        <v>1</v>
      </c>
      <c r="AD75" s="7" t="s">
        <v>687</v>
      </c>
      <c r="AE75">
        <v>55239.21</v>
      </c>
      <c r="AF75">
        <v>30.05</v>
      </c>
      <c r="AH75" s="6" t="s">
        <v>892</v>
      </c>
      <c r="AI75">
        <v>151530.34</v>
      </c>
    </row>
    <row r="76" spans="1:35" x14ac:dyDescent="0.25">
      <c r="A76" s="6" t="s">
        <v>15</v>
      </c>
      <c r="B76">
        <v>300839.63999999996</v>
      </c>
      <c r="C76">
        <v>11.707125</v>
      </c>
      <c r="D76" s="8">
        <v>0.04</v>
      </c>
      <c r="E76">
        <v>8</v>
      </c>
      <c r="J76" s="7" t="s">
        <v>260</v>
      </c>
      <c r="K76">
        <v>13864.85</v>
      </c>
      <c r="L76">
        <v>15251</v>
      </c>
      <c r="N76">
        <v>0</v>
      </c>
      <c r="O76">
        <v>13864.85</v>
      </c>
      <c r="P76">
        <v>15251</v>
      </c>
      <c r="Y76" s="6" t="s">
        <v>545</v>
      </c>
      <c r="Z76">
        <v>79167.850000000006</v>
      </c>
      <c r="AA76">
        <v>79167.850000000006</v>
      </c>
      <c r="AB76">
        <v>1</v>
      </c>
      <c r="AD76" s="7" t="s">
        <v>500</v>
      </c>
      <c r="AE76">
        <v>33731.56</v>
      </c>
      <c r="AF76">
        <v>67.81</v>
      </c>
      <c r="AH76" s="6" t="s">
        <v>893</v>
      </c>
      <c r="AI76">
        <v>3</v>
      </c>
    </row>
    <row r="77" spans="1:35" x14ac:dyDescent="0.25">
      <c r="A77" s="7" t="s">
        <v>855</v>
      </c>
      <c r="B77">
        <v>113963.97</v>
      </c>
      <c r="C77">
        <v>10.433666666666667</v>
      </c>
      <c r="D77" s="8">
        <v>1.4999999999999999E-2</v>
      </c>
      <c r="E77">
        <v>3</v>
      </c>
      <c r="J77" s="7" t="s">
        <v>65</v>
      </c>
      <c r="K77">
        <v>13302.79</v>
      </c>
      <c r="L77">
        <v>14633</v>
      </c>
      <c r="N77">
        <v>0</v>
      </c>
      <c r="O77">
        <v>13302.79</v>
      </c>
      <c r="P77">
        <v>14633</v>
      </c>
      <c r="Y77" s="6" t="s">
        <v>59</v>
      </c>
      <c r="Z77">
        <v>77271.08</v>
      </c>
      <c r="AA77">
        <v>77271.08</v>
      </c>
      <c r="AB77">
        <v>1</v>
      </c>
      <c r="AD77" s="7" t="s">
        <v>50</v>
      </c>
      <c r="AE77">
        <v>85416.21</v>
      </c>
      <c r="AF77">
        <v>30.49</v>
      </c>
      <c r="AH77" s="6" t="s">
        <v>894</v>
      </c>
      <c r="AI77">
        <v>50510.113333333335</v>
      </c>
    </row>
    <row r="78" spans="1:35" x14ac:dyDescent="0.25">
      <c r="A78" s="7" t="s">
        <v>856</v>
      </c>
      <c r="B78">
        <v>186875.66999999998</v>
      </c>
      <c r="C78">
        <v>12.4712</v>
      </c>
      <c r="D78" s="8">
        <v>2.5000000000000001E-2</v>
      </c>
      <c r="E78">
        <v>5</v>
      </c>
      <c r="J78" s="7" t="s">
        <v>10</v>
      </c>
      <c r="K78">
        <v>40608.43</v>
      </c>
      <c r="L78">
        <v>44669</v>
      </c>
      <c r="N78">
        <v>0</v>
      </c>
      <c r="O78">
        <v>40608.43</v>
      </c>
      <c r="P78">
        <v>44669</v>
      </c>
      <c r="Y78" s="6" t="s">
        <v>483</v>
      </c>
      <c r="Z78">
        <v>25362.35</v>
      </c>
      <c r="AA78">
        <v>25362.35</v>
      </c>
      <c r="AB78">
        <v>1</v>
      </c>
      <c r="AD78" s="7" t="s">
        <v>243</v>
      </c>
      <c r="AE78">
        <v>56385.51</v>
      </c>
      <c r="AF78">
        <v>41.4</v>
      </c>
      <c r="AH78" s="6" t="s">
        <v>893</v>
      </c>
      <c r="AI78">
        <v>3</v>
      </c>
    </row>
    <row r="79" spans="1:35" x14ac:dyDescent="0.25">
      <c r="A79" s="6" t="s">
        <v>3</v>
      </c>
      <c r="B79">
        <v>148478.69999999998</v>
      </c>
      <c r="C79">
        <v>14.8994</v>
      </c>
      <c r="D79" s="8">
        <v>2.5000000000000001E-2</v>
      </c>
      <c r="E79">
        <v>5</v>
      </c>
      <c r="J79" s="7" t="s">
        <v>421</v>
      </c>
      <c r="L79">
        <v>0</v>
      </c>
      <c r="M79">
        <v>33296.620000000003</v>
      </c>
      <c r="N79">
        <v>36626</v>
      </c>
      <c r="O79">
        <v>33296.620000000003</v>
      </c>
      <c r="P79">
        <v>36626</v>
      </c>
      <c r="Y79" s="6" t="s">
        <v>487</v>
      </c>
      <c r="Z79">
        <v>49644.62</v>
      </c>
      <c r="AA79">
        <v>49644.62</v>
      </c>
      <c r="AB79">
        <v>1</v>
      </c>
      <c r="AD79" s="7" t="s">
        <v>672</v>
      </c>
      <c r="AE79">
        <v>35319.5</v>
      </c>
      <c r="AF79">
        <v>67.86</v>
      </c>
      <c r="AH79" s="6" t="s">
        <v>34</v>
      </c>
    </row>
    <row r="80" spans="1:35" x14ac:dyDescent="0.25">
      <c r="A80" s="7" t="s">
        <v>855</v>
      </c>
      <c r="B80">
        <v>105632.79999999999</v>
      </c>
      <c r="C80">
        <v>12.477500000000001</v>
      </c>
      <c r="D80" s="8">
        <v>0.02</v>
      </c>
      <c r="E80">
        <v>4</v>
      </c>
      <c r="J80" s="7" t="s">
        <v>429</v>
      </c>
      <c r="K80">
        <v>32464.2</v>
      </c>
      <c r="L80">
        <v>35711</v>
      </c>
      <c r="N80">
        <v>0</v>
      </c>
      <c r="O80">
        <v>32464.2</v>
      </c>
      <c r="P80">
        <v>35711</v>
      </c>
      <c r="Y80" s="6" t="s">
        <v>694</v>
      </c>
      <c r="Z80">
        <v>42845.9</v>
      </c>
      <c r="AA80">
        <v>42845.9</v>
      </c>
      <c r="AB80">
        <v>1</v>
      </c>
      <c r="AD80" s="7" t="s">
        <v>565</v>
      </c>
      <c r="AE80">
        <v>64562.14</v>
      </c>
      <c r="AF80">
        <v>93.92</v>
      </c>
      <c r="AH80" s="7" t="s">
        <v>41</v>
      </c>
      <c r="AI80">
        <v>33631.040000000001</v>
      </c>
    </row>
    <row r="81" spans="1:35" x14ac:dyDescent="0.25">
      <c r="A81" s="7" t="s">
        <v>856</v>
      </c>
      <c r="B81">
        <v>42845.9</v>
      </c>
      <c r="C81">
        <v>24.587</v>
      </c>
      <c r="D81" s="8">
        <v>5.0000000000000001E-3</v>
      </c>
      <c r="E81">
        <v>1</v>
      </c>
      <c r="J81" s="6" t="s">
        <v>23</v>
      </c>
      <c r="K81">
        <v>296922.57</v>
      </c>
      <c r="L81">
        <v>326615</v>
      </c>
      <c r="M81">
        <v>33731.56</v>
      </c>
      <c r="N81">
        <v>37105</v>
      </c>
      <c r="O81">
        <v>330654.13</v>
      </c>
      <c r="P81">
        <v>363720</v>
      </c>
      <c r="Y81" s="6" t="s">
        <v>211</v>
      </c>
      <c r="Z81">
        <v>71538.320000000007</v>
      </c>
      <c r="AA81">
        <v>71538.320000000007</v>
      </c>
      <c r="AB81">
        <v>1</v>
      </c>
      <c r="AD81" s="6" t="s">
        <v>71</v>
      </c>
      <c r="AH81" s="7" t="s">
        <v>265</v>
      </c>
      <c r="AI81">
        <v>88422.06</v>
      </c>
    </row>
    <row r="82" spans="1:35" x14ac:dyDescent="0.25">
      <c r="A82" s="6" t="s">
        <v>32</v>
      </c>
      <c r="B82">
        <v>242766.02</v>
      </c>
      <c r="C82">
        <v>13.368499999999999</v>
      </c>
      <c r="D82" s="8">
        <v>0.03</v>
      </c>
      <c r="E82">
        <v>6</v>
      </c>
      <c r="J82" s="7" t="s">
        <v>687</v>
      </c>
      <c r="K82">
        <v>55239.21</v>
      </c>
      <c r="L82">
        <v>60763</v>
      </c>
      <c r="N82">
        <v>0</v>
      </c>
      <c r="O82">
        <v>55239.21</v>
      </c>
      <c r="P82">
        <v>60763</v>
      </c>
      <c r="Y82" s="6" t="s">
        <v>558</v>
      </c>
      <c r="Z82">
        <v>38046.22</v>
      </c>
      <c r="AA82">
        <v>38046.22</v>
      </c>
      <c r="AB82">
        <v>1</v>
      </c>
      <c r="AD82" s="7" t="s">
        <v>401</v>
      </c>
      <c r="AE82">
        <v>46521.04</v>
      </c>
      <c r="AF82">
        <v>78.78</v>
      </c>
      <c r="AH82" s="7" t="s">
        <v>10</v>
      </c>
      <c r="AI82">
        <v>27306.95</v>
      </c>
    </row>
    <row r="83" spans="1:35" x14ac:dyDescent="0.25">
      <c r="A83" s="7" t="s">
        <v>855</v>
      </c>
      <c r="B83">
        <v>55287.179999999993</v>
      </c>
      <c r="C83">
        <v>23.3185</v>
      </c>
      <c r="D83" s="8">
        <v>0.01</v>
      </c>
      <c r="E83">
        <v>2</v>
      </c>
      <c r="J83" s="7" t="s">
        <v>500</v>
      </c>
      <c r="L83">
        <v>0</v>
      </c>
      <c r="M83">
        <v>33731.56</v>
      </c>
      <c r="N83">
        <v>37105</v>
      </c>
      <c r="O83">
        <v>33731.56</v>
      </c>
      <c r="P83">
        <v>37105</v>
      </c>
      <c r="Y83" s="6" t="s">
        <v>722</v>
      </c>
      <c r="Z83">
        <v>24350.75</v>
      </c>
      <c r="AA83">
        <v>24350.75</v>
      </c>
      <c r="AB83">
        <v>1</v>
      </c>
      <c r="AD83" s="7" t="s">
        <v>764</v>
      </c>
      <c r="AE83">
        <v>7813.36</v>
      </c>
      <c r="AF83">
        <v>75.27</v>
      </c>
      <c r="AH83" s="7" t="s">
        <v>56</v>
      </c>
      <c r="AI83">
        <v>571.11</v>
      </c>
    </row>
    <row r="84" spans="1:35" x14ac:dyDescent="0.25">
      <c r="A84" s="7" t="s">
        <v>856</v>
      </c>
      <c r="B84">
        <v>187478.84</v>
      </c>
      <c r="C84">
        <v>8.3934999999999995</v>
      </c>
      <c r="D84" s="8">
        <v>0.02</v>
      </c>
      <c r="E84">
        <v>4</v>
      </c>
      <c r="J84" s="7" t="s">
        <v>50</v>
      </c>
      <c r="K84">
        <v>85416.21</v>
      </c>
      <c r="L84">
        <v>93958</v>
      </c>
      <c r="N84">
        <v>0</v>
      </c>
      <c r="O84">
        <v>85416.21</v>
      </c>
      <c r="P84">
        <v>93958</v>
      </c>
      <c r="Y84" s="6" t="s">
        <v>98</v>
      </c>
      <c r="Z84">
        <v>22863.95</v>
      </c>
      <c r="AA84">
        <v>22863.95</v>
      </c>
      <c r="AB84">
        <v>1</v>
      </c>
      <c r="AD84" s="7" t="s">
        <v>370</v>
      </c>
      <c r="AE84">
        <v>30979.24</v>
      </c>
      <c r="AF84">
        <v>50.42</v>
      </c>
      <c r="AH84" s="6" t="s">
        <v>895</v>
      </c>
      <c r="AI84">
        <v>149931.16</v>
      </c>
    </row>
    <row r="85" spans="1:35" x14ac:dyDescent="0.25">
      <c r="A85" s="6" t="s">
        <v>28</v>
      </c>
      <c r="B85">
        <v>418469.52</v>
      </c>
      <c r="C85">
        <v>19.590888888888891</v>
      </c>
      <c r="D85" s="8">
        <v>4.4999999999999998E-2</v>
      </c>
      <c r="E85">
        <v>9</v>
      </c>
      <c r="J85" s="7" t="s">
        <v>243</v>
      </c>
      <c r="K85">
        <v>56385.51</v>
      </c>
      <c r="L85">
        <v>62024</v>
      </c>
      <c r="N85">
        <v>0</v>
      </c>
      <c r="O85">
        <v>56385.51</v>
      </c>
      <c r="P85">
        <v>62024</v>
      </c>
      <c r="Y85" s="6" t="s">
        <v>208</v>
      </c>
      <c r="Z85">
        <v>6380.07</v>
      </c>
      <c r="AA85">
        <v>6380.07</v>
      </c>
      <c r="AB85">
        <v>1</v>
      </c>
      <c r="AD85" s="7" t="s">
        <v>69</v>
      </c>
      <c r="AE85">
        <v>83696.009999999995</v>
      </c>
      <c r="AF85">
        <v>5.49</v>
      </c>
      <c r="AH85" s="6" t="s">
        <v>896</v>
      </c>
      <c r="AI85">
        <v>4</v>
      </c>
    </row>
    <row r="86" spans="1:35" x14ac:dyDescent="0.25">
      <c r="A86" s="7" t="s">
        <v>855</v>
      </c>
      <c r="B86">
        <v>263169.05000000005</v>
      </c>
      <c r="C86">
        <v>21.434599999999996</v>
      </c>
      <c r="D86" s="8">
        <v>2.5000000000000001E-2</v>
      </c>
      <c r="E86">
        <v>5</v>
      </c>
      <c r="J86" s="7" t="s">
        <v>672</v>
      </c>
      <c r="K86">
        <v>35319.5</v>
      </c>
      <c r="L86">
        <v>38851</v>
      </c>
      <c r="N86">
        <v>0</v>
      </c>
      <c r="O86">
        <v>35319.5</v>
      </c>
      <c r="P86">
        <v>38851</v>
      </c>
      <c r="Y86" s="6" t="s">
        <v>60</v>
      </c>
      <c r="Z86">
        <v>29270.35</v>
      </c>
      <c r="AA86">
        <v>29270.35</v>
      </c>
      <c r="AB86">
        <v>1</v>
      </c>
      <c r="AD86" s="7" t="s">
        <v>25</v>
      </c>
      <c r="AE86">
        <v>57571.13</v>
      </c>
      <c r="AF86">
        <v>66.55</v>
      </c>
      <c r="AH86" s="6" t="s">
        <v>897</v>
      </c>
      <c r="AI86">
        <v>37482.79</v>
      </c>
    </row>
    <row r="87" spans="1:35" x14ac:dyDescent="0.25">
      <c r="A87" s="7" t="s">
        <v>856</v>
      </c>
      <c r="B87">
        <v>155300.47</v>
      </c>
      <c r="C87">
        <v>17.286249999999999</v>
      </c>
      <c r="D87" s="8">
        <v>0.02</v>
      </c>
      <c r="E87">
        <v>4</v>
      </c>
      <c r="J87" s="7" t="s">
        <v>565</v>
      </c>
      <c r="K87">
        <v>64562.14</v>
      </c>
      <c r="L87">
        <v>71018</v>
      </c>
      <c r="N87">
        <v>0</v>
      </c>
      <c r="O87">
        <v>64562.14</v>
      </c>
      <c r="P87">
        <v>71018</v>
      </c>
      <c r="Y87" s="6" t="s">
        <v>379</v>
      </c>
      <c r="Z87">
        <v>84391</v>
      </c>
      <c r="AA87">
        <v>84391</v>
      </c>
      <c r="AB87">
        <v>1</v>
      </c>
      <c r="AD87" s="7" t="s">
        <v>228</v>
      </c>
      <c r="AE87">
        <v>5829.39</v>
      </c>
      <c r="AF87">
        <v>86.57</v>
      </c>
      <c r="AH87" s="6" t="s">
        <v>896</v>
      </c>
      <c r="AI87">
        <v>4</v>
      </c>
    </row>
    <row r="88" spans="1:35" x14ac:dyDescent="0.25">
      <c r="A88" s="6" t="s">
        <v>33</v>
      </c>
      <c r="B88">
        <v>368406.54</v>
      </c>
      <c r="C88">
        <v>86.853125000000006</v>
      </c>
      <c r="D88" s="8">
        <v>0.04</v>
      </c>
      <c r="E88">
        <v>8</v>
      </c>
      <c r="J88" s="6" t="s">
        <v>71</v>
      </c>
      <c r="K88">
        <v>140265.01999999999</v>
      </c>
      <c r="L88">
        <v>154292</v>
      </c>
      <c r="M88">
        <v>223526.63</v>
      </c>
      <c r="N88">
        <v>245879</v>
      </c>
      <c r="O88">
        <v>363791.65</v>
      </c>
      <c r="P88">
        <v>400171</v>
      </c>
      <c r="Y88" s="6" t="s">
        <v>383</v>
      </c>
      <c r="Z88">
        <v>82849.77</v>
      </c>
      <c r="AA88">
        <v>82849.77</v>
      </c>
      <c r="AB88">
        <v>1</v>
      </c>
      <c r="AD88" s="7" t="s">
        <v>759</v>
      </c>
      <c r="AE88">
        <v>80641.86</v>
      </c>
      <c r="AF88">
        <v>92.03</v>
      </c>
      <c r="AH88" s="6" t="s">
        <v>30</v>
      </c>
    </row>
    <row r="89" spans="1:35" x14ac:dyDescent="0.25">
      <c r="A89" s="7" t="s">
        <v>855</v>
      </c>
      <c r="B89">
        <v>215392.47999999998</v>
      </c>
      <c r="C89">
        <v>12.64475</v>
      </c>
      <c r="D89" s="8">
        <v>0.02</v>
      </c>
      <c r="E89">
        <v>4</v>
      </c>
      <c r="J89" s="7" t="s">
        <v>401</v>
      </c>
      <c r="L89">
        <v>0</v>
      </c>
      <c r="M89">
        <v>46521.04</v>
      </c>
      <c r="N89">
        <v>51173</v>
      </c>
      <c r="O89">
        <v>46521.04</v>
      </c>
      <c r="P89">
        <v>51173</v>
      </c>
      <c r="Y89" s="6" t="s">
        <v>289</v>
      </c>
      <c r="Z89">
        <v>768.33</v>
      </c>
      <c r="AA89">
        <v>768.33</v>
      </c>
      <c r="AB89">
        <v>1</v>
      </c>
      <c r="AD89" s="7" t="s">
        <v>518</v>
      </c>
      <c r="AE89">
        <v>50739.62</v>
      </c>
      <c r="AF89">
        <v>83.58</v>
      </c>
      <c r="AH89" s="7" t="s">
        <v>236</v>
      </c>
      <c r="AI89">
        <v>22856.21</v>
      </c>
    </row>
    <row r="90" spans="1:35" x14ac:dyDescent="0.25">
      <c r="A90" s="7" t="s">
        <v>856</v>
      </c>
      <c r="B90">
        <v>153014.06</v>
      </c>
      <c r="C90">
        <v>161.06150000000002</v>
      </c>
      <c r="D90" s="8">
        <v>0.02</v>
      </c>
      <c r="E90">
        <v>4</v>
      </c>
      <c r="J90" s="7" t="s">
        <v>764</v>
      </c>
      <c r="L90">
        <v>0</v>
      </c>
      <c r="M90">
        <v>7813.36</v>
      </c>
      <c r="N90">
        <v>8595</v>
      </c>
      <c r="O90">
        <v>7813.36</v>
      </c>
      <c r="P90">
        <v>8595</v>
      </c>
      <c r="Y90" s="6" t="s">
        <v>370</v>
      </c>
      <c r="Z90">
        <v>55995.7</v>
      </c>
      <c r="AA90">
        <v>27997.85</v>
      </c>
      <c r="AB90">
        <v>2</v>
      </c>
      <c r="AD90" s="6" t="s">
        <v>27</v>
      </c>
      <c r="AH90" s="7" t="s">
        <v>410</v>
      </c>
      <c r="AI90">
        <v>26128.86</v>
      </c>
    </row>
    <row r="91" spans="1:35" x14ac:dyDescent="0.25">
      <c r="A91" s="6" t="s">
        <v>64</v>
      </c>
      <c r="B91">
        <v>326808.57</v>
      </c>
      <c r="C91">
        <v>15.279249999999998</v>
      </c>
      <c r="D91" s="8">
        <v>0.04</v>
      </c>
      <c r="E91">
        <v>8</v>
      </c>
      <c r="J91" s="7" t="s">
        <v>370</v>
      </c>
      <c r="L91">
        <v>0</v>
      </c>
      <c r="M91">
        <v>30979.24</v>
      </c>
      <c r="N91">
        <v>34077</v>
      </c>
      <c r="O91">
        <v>30979.24</v>
      </c>
      <c r="P91">
        <v>34077</v>
      </c>
      <c r="Y91" s="6" t="s">
        <v>584</v>
      </c>
      <c r="Z91">
        <v>71216.03</v>
      </c>
      <c r="AA91">
        <v>71216.03</v>
      </c>
      <c r="AB91">
        <v>1</v>
      </c>
      <c r="AD91" s="7" t="s">
        <v>687</v>
      </c>
      <c r="AE91">
        <v>87003.39</v>
      </c>
      <c r="AF91">
        <v>65.37</v>
      </c>
      <c r="AH91" s="7" t="s">
        <v>265</v>
      </c>
      <c r="AI91">
        <v>78907.14</v>
      </c>
    </row>
    <row r="92" spans="1:35" x14ac:dyDescent="0.25">
      <c r="A92" s="7" t="s">
        <v>855</v>
      </c>
      <c r="B92">
        <v>119079.34000000001</v>
      </c>
      <c r="C92">
        <v>10.837333333333333</v>
      </c>
      <c r="D92" s="8">
        <v>1.4999999999999999E-2</v>
      </c>
      <c r="E92">
        <v>3</v>
      </c>
      <c r="J92" s="7" t="s">
        <v>69</v>
      </c>
      <c r="K92">
        <v>83696.009999999995</v>
      </c>
      <c r="L92">
        <v>92066</v>
      </c>
      <c r="N92">
        <v>0</v>
      </c>
      <c r="O92">
        <v>83696.009999999995</v>
      </c>
      <c r="P92">
        <v>92066</v>
      </c>
      <c r="Y92" s="6" t="s">
        <v>221</v>
      </c>
      <c r="Z92">
        <v>40020.46</v>
      </c>
      <c r="AA92">
        <v>20010.23</v>
      </c>
      <c r="AB92">
        <v>2</v>
      </c>
      <c r="AD92" s="6" t="s">
        <v>53</v>
      </c>
      <c r="AH92" s="7" t="s">
        <v>88</v>
      </c>
      <c r="AI92">
        <v>82800.600000000006</v>
      </c>
    </row>
    <row r="93" spans="1:35" x14ac:dyDescent="0.25">
      <c r="A93" s="7" t="s">
        <v>856</v>
      </c>
      <c r="B93">
        <v>207729.22999999998</v>
      </c>
      <c r="C93">
        <v>17.944399999999998</v>
      </c>
      <c r="D93" s="8">
        <v>2.5000000000000001E-2</v>
      </c>
      <c r="E93">
        <v>5</v>
      </c>
      <c r="J93" s="7" t="s">
        <v>25</v>
      </c>
      <c r="L93">
        <v>0</v>
      </c>
      <c r="M93">
        <v>57571.13</v>
      </c>
      <c r="N93">
        <v>63328</v>
      </c>
      <c r="O93">
        <v>57571.13</v>
      </c>
      <c r="P93">
        <v>63328</v>
      </c>
      <c r="Y93" s="6" t="s">
        <v>607</v>
      </c>
      <c r="Z93">
        <v>83001.91</v>
      </c>
      <c r="AA93">
        <v>83001.91</v>
      </c>
      <c r="AB93">
        <v>1</v>
      </c>
      <c r="AD93" s="7" t="s">
        <v>57</v>
      </c>
      <c r="AE93">
        <v>42659.75</v>
      </c>
      <c r="AF93">
        <v>24.87</v>
      </c>
      <c r="AH93" s="6" t="s">
        <v>898</v>
      </c>
      <c r="AI93">
        <v>210692.81</v>
      </c>
    </row>
    <row r="94" spans="1:35" x14ac:dyDescent="0.25">
      <c r="A94" s="6" t="s">
        <v>9</v>
      </c>
      <c r="B94">
        <v>115757.58</v>
      </c>
      <c r="C94">
        <v>21.456666666666667</v>
      </c>
      <c r="D94" s="8">
        <v>1.4999999999999999E-2</v>
      </c>
      <c r="E94">
        <v>3</v>
      </c>
      <c r="J94" s="7" t="s">
        <v>228</v>
      </c>
      <c r="K94">
        <v>5829.39</v>
      </c>
      <c r="L94">
        <v>6412</v>
      </c>
      <c r="N94">
        <v>0</v>
      </c>
      <c r="O94">
        <v>5829.39</v>
      </c>
      <c r="P94">
        <v>6412</v>
      </c>
      <c r="Y94" s="6" t="s">
        <v>750</v>
      </c>
      <c r="Z94">
        <v>49286.720000000001</v>
      </c>
      <c r="AA94">
        <v>49286.720000000001</v>
      </c>
      <c r="AB94">
        <v>1</v>
      </c>
      <c r="AD94" s="7" t="s">
        <v>77</v>
      </c>
      <c r="AE94">
        <v>40060.519999999997</v>
      </c>
      <c r="AF94">
        <v>99.92</v>
      </c>
      <c r="AH94" s="6" t="s">
        <v>899</v>
      </c>
      <c r="AI94">
        <v>4</v>
      </c>
    </row>
    <row r="95" spans="1:35" x14ac:dyDescent="0.25">
      <c r="A95" s="7" t="s">
        <v>855</v>
      </c>
      <c r="B95">
        <v>100021.59</v>
      </c>
      <c r="C95">
        <v>25.311</v>
      </c>
      <c r="D95" s="8">
        <v>0.01</v>
      </c>
      <c r="E95">
        <v>2</v>
      </c>
      <c r="J95" s="7" t="s">
        <v>759</v>
      </c>
      <c r="L95">
        <v>0</v>
      </c>
      <c r="M95">
        <v>80641.86</v>
      </c>
      <c r="N95">
        <v>88706</v>
      </c>
      <c r="O95">
        <v>80641.86</v>
      </c>
      <c r="P95">
        <v>88706</v>
      </c>
      <c r="Y95" s="6" t="s">
        <v>334</v>
      </c>
      <c r="Z95">
        <v>20402.2</v>
      </c>
      <c r="AA95">
        <v>20402.2</v>
      </c>
      <c r="AB95">
        <v>1</v>
      </c>
      <c r="AD95" s="7" t="s">
        <v>70</v>
      </c>
      <c r="AE95">
        <v>89704.3</v>
      </c>
      <c r="AF95">
        <v>6.3</v>
      </c>
      <c r="AH95" s="6" t="s">
        <v>900</v>
      </c>
      <c r="AI95">
        <v>52673.202499999999</v>
      </c>
    </row>
    <row r="96" spans="1:35" x14ac:dyDescent="0.25">
      <c r="A96" s="7" t="s">
        <v>856</v>
      </c>
      <c r="B96">
        <v>15735.99</v>
      </c>
      <c r="C96">
        <v>13.747999999999999</v>
      </c>
      <c r="D96" s="8">
        <v>5.0000000000000001E-3</v>
      </c>
      <c r="E96">
        <v>1</v>
      </c>
      <c r="J96" s="7" t="s">
        <v>518</v>
      </c>
      <c r="K96">
        <v>50739.62</v>
      </c>
      <c r="L96">
        <v>55814</v>
      </c>
      <c r="N96">
        <v>0</v>
      </c>
      <c r="O96">
        <v>50739.62</v>
      </c>
      <c r="P96">
        <v>55814</v>
      </c>
      <c r="Y96" s="6" t="s">
        <v>614</v>
      </c>
      <c r="Z96">
        <v>79331.37</v>
      </c>
      <c r="AA96">
        <v>79331.37</v>
      </c>
      <c r="AB96">
        <v>1</v>
      </c>
      <c r="AD96" s="7" t="s">
        <v>243</v>
      </c>
      <c r="AE96">
        <v>23177.439999999999</v>
      </c>
      <c r="AF96">
        <v>7.84</v>
      </c>
      <c r="AH96" s="6" t="s">
        <v>899</v>
      </c>
      <c r="AI96">
        <v>4</v>
      </c>
    </row>
    <row r="97" spans="1:35" x14ac:dyDescent="0.25">
      <c r="A97" s="6" t="s">
        <v>40</v>
      </c>
      <c r="B97">
        <v>281056.08</v>
      </c>
      <c r="C97">
        <v>18.320999999999998</v>
      </c>
      <c r="D97" s="8">
        <v>3.5000000000000003E-2</v>
      </c>
      <c r="E97">
        <v>7</v>
      </c>
      <c r="J97" s="6" t="s">
        <v>27</v>
      </c>
      <c r="K97">
        <v>87003.39</v>
      </c>
      <c r="L97">
        <v>95704</v>
      </c>
      <c r="N97">
        <v>0</v>
      </c>
      <c r="O97">
        <v>87003.39</v>
      </c>
      <c r="P97">
        <v>95704</v>
      </c>
      <c r="Y97" s="6" t="s">
        <v>811</v>
      </c>
      <c r="Z97">
        <v>40457.550000000003</v>
      </c>
      <c r="AA97">
        <v>40457.550000000003</v>
      </c>
      <c r="AB97">
        <v>1</v>
      </c>
      <c r="AD97" s="7" t="s">
        <v>11</v>
      </c>
      <c r="AE97">
        <v>60972.66</v>
      </c>
      <c r="AF97">
        <v>75.36</v>
      </c>
      <c r="AH97" s="6" t="s">
        <v>17</v>
      </c>
    </row>
    <row r="98" spans="1:35" x14ac:dyDescent="0.25">
      <c r="A98" s="7" t="s">
        <v>855</v>
      </c>
      <c r="B98">
        <v>187334.34</v>
      </c>
      <c r="C98">
        <v>21.323</v>
      </c>
      <c r="D98" s="8">
        <v>0.02</v>
      </c>
      <c r="E98">
        <v>4</v>
      </c>
      <c r="J98" s="7" t="s">
        <v>687</v>
      </c>
      <c r="K98">
        <v>87003.39</v>
      </c>
      <c r="L98">
        <v>95704</v>
      </c>
      <c r="N98">
        <v>0</v>
      </c>
      <c r="O98">
        <v>87003.39</v>
      </c>
      <c r="P98">
        <v>95704</v>
      </c>
      <c r="Y98" s="6" t="s">
        <v>69</v>
      </c>
      <c r="Z98">
        <v>83696.009999999995</v>
      </c>
      <c r="AA98">
        <v>83696.009999999995</v>
      </c>
      <c r="AB98">
        <v>1</v>
      </c>
      <c r="AD98" s="7" t="s">
        <v>466</v>
      </c>
      <c r="AE98">
        <v>87614.3</v>
      </c>
      <c r="AF98">
        <v>32.44</v>
      </c>
      <c r="AH98" s="7" t="s">
        <v>652</v>
      </c>
      <c r="AI98">
        <v>13523.13</v>
      </c>
    </row>
    <row r="99" spans="1:35" x14ac:dyDescent="0.25">
      <c r="A99" s="7" t="s">
        <v>856</v>
      </c>
      <c r="B99">
        <v>93721.74</v>
      </c>
      <c r="C99">
        <v>14.318333333333333</v>
      </c>
      <c r="D99" s="8">
        <v>1.4999999999999999E-2</v>
      </c>
      <c r="E99">
        <v>3</v>
      </c>
      <c r="J99" s="6" t="s">
        <v>53</v>
      </c>
      <c r="K99">
        <v>284134.42</v>
      </c>
      <c r="L99">
        <v>312548</v>
      </c>
      <c r="M99">
        <v>181746.66</v>
      </c>
      <c r="N99">
        <v>199921</v>
      </c>
      <c r="O99">
        <v>465881.08000000007</v>
      </c>
      <c r="P99">
        <v>512469</v>
      </c>
      <c r="Y99" s="6" t="s">
        <v>25</v>
      </c>
      <c r="Z99">
        <v>182306.34</v>
      </c>
      <c r="AA99">
        <v>60768.78</v>
      </c>
      <c r="AB99">
        <v>3</v>
      </c>
      <c r="AD99" s="7" t="s">
        <v>255</v>
      </c>
      <c r="AE99">
        <v>54071.839999999997</v>
      </c>
      <c r="AF99">
        <v>30.66</v>
      </c>
      <c r="AH99" s="7" t="s">
        <v>177</v>
      </c>
      <c r="AI99">
        <v>56397.440000000002</v>
      </c>
    </row>
    <row r="100" spans="1:35" x14ac:dyDescent="0.25">
      <c r="A100" s="6" t="s">
        <v>19</v>
      </c>
      <c r="B100">
        <v>197663.61</v>
      </c>
      <c r="C100">
        <v>16.639166666666668</v>
      </c>
      <c r="D100" s="8">
        <v>0.03</v>
      </c>
      <c r="E100">
        <v>6</v>
      </c>
      <c r="J100" s="7" t="s">
        <v>57</v>
      </c>
      <c r="K100">
        <v>42659.75</v>
      </c>
      <c r="L100">
        <v>46926</v>
      </c>
      <c r="N100">
        <v>0</v>
      </c>
      <c r="O100">
        <v>42659.75</v>
      </c>
      <c r="P100">
        <v>46926</v>
      </c>
      <c r="Y100" s="6" t="s">
        <v>265</v>
      </c>
      <c r="Z100">
        <v>167329.20000000001</v>
      </c>
      <c r="AA100">
        <v>83664.600000000006</v>
      </c>
      <c r="AB100">
        <v>2</v>
      </c>
      <c r="AD100" s="7" t="s">
        <v>691</v>
      </c>
      <c r="AE100">
        <v>67620.27</v>
      </c>
      <c r="AF100">
        <v>15.8</v>
      </c>
      <c r="AH100" s="7" t="s">
        <v>698</v>
      </c>
      <c r="AI100">
        <v>51650.16</v>
      </c>
    </row>
    <row r="101" spans="1:35" x14ac:dyDescent="0.25">
      <c r="A101" s="7" t="s">
        <v>855</v>
      </c>
      <c r="B101">
        <v>146357.51999999999</v>
      </c>
      <c r="C101">
        <v>21.438000000000002</v>
      </c>
      <c r="D101" s="8">
        <v>0.02</v>
      </c>
      <c r="E101">
        <v>4</v>
      </c>
      <c r="J101" s="7" t="s">
        <v>77</v>
      </c>
      <c r="L101">
        <v>0</v>
      </c>
      <c r="M101">
        <v>40060.519999999997</v>
      </c>
      <c r="N101">
        <v>44067</v>
      </c>
      <c r="O101">
        <v>40060.519999999997</v>
      </c>
      <c r="P101">
        <v>44067</v>
      </c>
      <c r="Y101" s="6" t="s">
        <v>528</v>
      </c>
      <c r="Z101">
        <v>978.01</v>
      </c>
      <c r="AA101">
        <v>978.01</v>
      </c>
      <c r="AB101">
        <v>1</v>
      </c>
      <c r="AD101" s="6" t="s">
        <v>14</v>
      </c>
      <c r="AH101" s="7" t="s">
        <v>67</v>
      </c>
      <c r="AI101">
        <v>70555.59</v>
      </c>
    </row>
    <row r="102" spans="1:35" x14ac:dyDescent="0.25">
      <c r="A102" s="7" t="s">
        <v>856</v>
      </c>
      <c r="B102">
        <v>51306.090000000004</v>
      </c>
      <c r="C102">
        <v>7.0415000000000001</v>
      </c>
      <c r="D102" s="8">
        <v>0.01</v>
      </c>
      <c r="E102">
        <v>2</v>
      </c>
      <c r="J102" s="7" t="s">
        <v>70</v>
      </c>
      <c r="K102">
        <v>89704.3</v>
      </c>
      <c r="L102">
        <v>98675</v>
      </c>
      <c r="N102">
        <v>0</v>
      </c>
      <c r="O102">
        <v>89704.3</v>
      </c>
      <c r="P102">
        <v>98675</v>
      </c>
      <c r="Y102" s="6" t="s">
        <v>507</v>
      </c>
      <c r="Z102">
        <v>78772.259999999995</v>
      </c>
      <c r="AA102">
        <v>78772.259999999995</v>
      </c>
      <c r="AB102">
        <v>1</v>
      </c>
      <c r="AD102" s="7" t="s">
        <v>63</v>
      </c>
      <c r="AE102">
        <v>14941.36</v>
      </c>
      <c r="AF102">
        <v>96.16</v>
      </c>
      <c r="AH102" s="7" t="s">
        <v>425</v>
      </c>
      <c r="AI102">
        <v>23005.3</v>
      </c>
    </row>
    <row r="103" spans="1:35" x14ac:dyDescent="0.25">
      <c r="A103" s="6" t="s">
        <v>7</v>
      </c>
      <c r="B103">
        <v>246260.83000000002</v>
      </c>
      <c r="C103">
        <v>12.65075</v>
      </c>
      <c r="D103" s="8">
        <v>0.02</v>
      </c>
      <c r="E103">
        <v>4</v>
      </c>
      <c r="J103" s="7" t="s">
        <v>243</v>
      </c>
      <c r="K103">
        <v>23177.439999999999</v>
      </c>
      <c r="L103">
        <v>25495</v>
      </c>
      <c r="N103">
        <v>0</v>
      </c>
      <c r="O103">
        <v>23177.439999999999</v>
      </c>
      <c r="P103">
        <v>25495</v>
      </c>
      <c r="Y103" s="6" t="s">
        <v>444</v>
      </c>
      <c r="Z103">
        <v>21539.16</v>
      </c>
      <c r="AA103">
        <v>21539.16</v>
      </c>
      <c r="AB103">
        <v>1</v>
      </c>
      <c r="AD103" s="6" t="s">
        <v>42</v>
      </c>
      <c r="AH103" s="7" t="s">
        <v>805</v>
      </c>
      <c r="AI103">
        <v>4118.1499999999996</v>
      </c>
    </row>
    <row r="104" spans="1:35" x14ac:dyDescent="0.25">
      <c r="A104" s="7" t="s">
        <v>856</v>
      </c>
      <c r="B104">
        <v>246260.83000000002</v>
      </c>
      <c r="C104">
        <v>12.65075</v>
      </c>
      <c r="D104" s="8">
        <v>0.02</v>
      </c>
      <c r="E104">
        <v>4</v>
      </c>
      <c r="J104" s="7" t="s">
        <v>11</v>
      </c>
      <c r="K104">
        <v>60972.66</v>
      </c>
      <c r="L104">
        <v>67070</v>
      </c>
      <c r="N104">
        <v>0</v>
      </c>
      <c r="O104">
        <v>60972.66</v>
      </c>
      <c r="P104">
        <v>67070</v>
      </c>
      <c r="Y104" s="6" t="s">
        <v>323</v>
      </c>
      <c r="Z104">
        <v>61803.49</v>
      </c>
      <c r="AA104">
        <v>61803.49</v>
      </c>
      <c r="AB104">
        <v>1</v>
      </c>
      <c r="AD104" s="7" t="s">
        <v>115</v>
      </c>
      <c r="AE104">
        <v>54406.29</v>
      </c>
      <c r="AF104">
        <v>91.72</v>
      </c>
      <c r="AH104" s="6" t="s">
        <v>901</v>
      </c>
      <c r="AI104">
        <v>219249.77</v>
      </c>
    </row>
    <row r="105" spans="1:35" x14ac:dyDescent="0.25">
      <c r="A105" s="6" t="s">
        <v>854</v>
      </c>
      <c r="B105">
        <v>8996331.0900000054</v>
      </c>
      <c r="C105">
        <v>18.639404999999989</v>
      </c>
      <c r="D105" s="8">
        <v>1</v>
      </c>
      <c r="E105">
        <v>200</v>
      </c>
      <c r="J105" s="7" t="s">
        <v>466</v>
      </c>
      <c r="L105">
        <v>0</v>
      </c>
      <c r="M105">
        <v>87614.3</v>
      </c>
      <c r="N105">
        <v>96376</v>
      </c>
      <c r="O105">
        <v>87614.3</v>
      </c>
      <c r="P105">
        <v>96376</v>
      </c>
      <c r="Y105" s="6" t="s">
        <v>433</v>
      </c>
      <c r="Z105">
        <v>10628.5</v>
      </c>
      <c r="AA105">
        <v>10628.5</v>
      </c>
      <c r="AB105">
        <v>1</v>
      </c>
      <c r="AD105" s="7" t="s">
        <v>558</v>
      </c>
      <c r="AE105">
        <v>38046.22</v>
      </c>
      <c r="AF105">
        <v>26.58</v>
      </c>
      <c r="AH105" s="6" t="s">
        <v>902</v>
      </c>
      <c r="AI105">
        <v>6</v>
      </c>
    </row>
    <row r="106" spans="1:35" x14ac:dyDescent="0.25">
      <c r="J106" s="7" t="s">
        <v>255</v>
      </c>
      <c r="L106">
        <v>0</v>
      </c>
      <c r="M106">
        <v>54071.839999999997</v>
      </c>
      <c r="N106">
        <v>59479</v>
      </c>
      <c r="O106">
        <v>54071.839999999997</v>
      </c>
      <c r="P106">
        <v>59479</v>
      </c>
      <c r="Y106" s="6" t="s">
        <v>698</v>
      </c>
      <c r="Z106">
        <v>51650.16</v>
      </c>
      <c r="AA106">
        <v>51650.16</v>
      </c>
      <c r="AB106">
        <v>1</v>
      </c>
      <c r="AD106" s="7" t="s">
        <v>743</v>
      </c>
      <c r="AE106">
        <v>13242.66</v>
      </c>
      <c r="AF106">
        <v>69.22</v>
      </c>
      <c r="AH106" s="6" t="s">
        <v>903</v>
      </c>
      <c r="AI106">
        <v>36541.628333333334</v>
      </c>
    </row>
    <row r="107" spans="1:35" x14ac:dyDescent="0.25">
      <c r="J107" s="7" t="s">
        <v>691</v>
      </c>
      <c r="K107">
        <v>67620.27</v>
      </c>
      <c r="L107">
        <v>74382</v>
      </c>
      <c r="N107">
        <v>0</v>
      </c>
      <c r="O107">
        <v>67620.27</v>
      </c>
      <c r="P107">
        <v>74382</v>
      </c>
      <c r="Y107" s="6" t="s">
        <v>102</v>
      </c>
      <c r="Z107">
        <v>65095.51</v>
      </c>
      <c r="AA107">
        <v>65095.51</v>
      </c>
      <c r="AB107">
        <v>1</v>
      </c>
      <c r="AD107" s="7" t="s">
        <v>462</v>
      </c>
      <c r="AE107">
        <v>62371.5</v>
      </c>
      <c r="AF107">
        <v>55.49</v>
      </c>
      <c r="AH107" s="6" t="s">
        <v>902</v>
      </c>
      <c r="AI107">
        <v>6</v>
      </c>
    </row>
    <row r="108" spans="1:35" x14ac:dyDescent="0.25">
      <c r="J108" s="6" t="s">
        <v>14</v>
      </c>
      <c r="L108">
        <v>0</v>
      </c>
      <c r="M108">
        <v>14941.36</v>
      </c>
      <c r="N108">
        <v>16435</v>
      </c>
      <c r="O108">
        <v>14941.36</v>
      </c>
      <c r="P108">
        <v>16435</v>
      </c>
      <c r="Y108" s="6" t="s">
        <v>88</v>
      </c>
      <c r="Z108">
        <v>82800.600000000006</v>
      </c>
      <c r="AA108">
        <v>82800.600000000006</v>
      </c>
      <c r="AB108">
        <v>1</v>
      </c>
      <c r="AD108" s="6" t="s">
        <v>2</v>
      </c>
      <c r="AH108" s="6" t="s">
        <v>61</v>
      </c>
    </row>
    <row r="109" spans="1:35" x14ac:dyDescent="0.25">
      <c r="J109" s="7" t="s">
        <v>63</v>
      </c>
      <c r="L109">
        <v>0</v>
      </c>
      <c r="M109">
        <v>14941.36</v>
      </c>
      <c r="N109">
        <v>16435</v>
      </c>
      <c r="O109">
        <v>14941.36</v>
      </c>
      <c r="P109">
        <v>16435</v>
      </c>
      <c r="Y109" s="6" t="s">
        <v>228</v>
      </c>
      <c r="Z109">
        <v>5829.39</v>
      </c>
      <c r="AA109">
        <v>5829.39</v>
      </c>
      <c r="AB109">
        <v>1</v>
      </c>
      <c r="AD109" s="7" t="s">
        <v>754</v>
      </c>
      <c r="AE109">
        <v>81192.95</v>
      </c>
      <c r="AF109">
        <v>2.67</v>
      </c>
      <c r="AH109" s="7" t="s">
        <v>236</v>
      </c>
      <c r="AI109">
        <v>82707.17</v>
      </c>
    </row>
    <row r="110" spans="1:35" x14ac:dyDescent="0.25">
      <c r="J110" s="6" t="s">
        <v>42</v>
      </c>
      <c r="K110">
        <v>116777.79000000001</v>
      </c>
      <c r="L110">
        <v>128456</v>
      </c>
      <c r="M110">
        <v>51288.880000000005</v>
      </c>
      <c r="N110">
        <v>56418</v>
      </c>
      <c r="O110">
        <v>168066.67</v>
      </c>
      <c r="P110">
        <v>184873</v>
      </c>
      <c r="Y110" s="6" t="s">
        <v>475</v>
      </c>
      <c r="Z110">
        <v>78228.34</v>
      </c>
      <c r="AA110">
        <v>78228.34</v>
      </c>
      <c r="AB110">
        <v>1</v>
      </c>
      <c r="AD110" s="7" t="s">
        <v>405</v>
      </c>
      <c r="AE110">
        <v>13893.18</v>
      </c>
      <c r="AF110">
        <v>32.79</v>
      </c>
      <c r="AH110" s="7" t="s">
        <v>541</v>
      </c>
      <c r="AI110">
        <v>56303.45</v>
      </c>
    </row>
    <row r="111" spans="1:35" x14ac:dyDescent="0.25">
      <c r="J111" s="7" t="s">
        <v>115</v>
      </c>
      <c r="K111">
        <v>54406.29</v>
      </c>
      <c r="L111">
        <v>59847</v>
      </c>
      <c r="N111">
        <v>0</v>
      </c>
      <c r="O111">
        <v>54406.29</v>
      </c>
      <c r="P111">
        <v>59847</v>
      </c>
      <c r="Y111" s="6" t="s">
        <v>281</v>
      </c>
      <c r="Z111">
        <v>17679.95</v>
      </c>
      <c r="AA111">
        <v>17679.95</v>
      </c>
      <c r="AB111">
        <v>1</v>
      </c>
      <c r="AD111" s="7" t="s">
        <v>8</v>
      </c>
      <c r="AE111">
        <v>73677.600000000006</v>
      </c>
      <c r="AF111">
        <v>69.930000000000007</v>
      </c>
      <c r="AH111" s="7" t="s">
        <v>62</v>
      </c>
      <c r="AI111">
        <v>70471.25</v>
      </c>
    </row>
    <row r="112" spans="1:35" x14ac:dyDescent="0.25">
      <c r="J112" s="7" t="s">
        <v>558</v>
      </c>
      <c r="L112">
        <v>0</v>
      </c>
      <c r="M112">
        <v>38046.22</v>
      </c>
      <c r="N112">
        <v>41851</v>
      </c>
      <c r="O112">
        <v>38046.22</v>
      </c>
      <c r="P112">
        <v>41851</v>
      </c>
      <c r="Y112" s="6" t="s">
        <v>67</v>
      </c>
      <c r="Z112">
        <v>89914.64</v>
      </c>
      <c r="AA112">
        <v>44957.32</v>
      </c>
      <c r="AB112">
        <v>2</v>
      </c>
      <c r="AD112" s="7" t="s">
        <v>383</v>
      </c>
      <c r="AE112">
        <v>82849.77</v>
      </c>
      <c r="AF112">
        <v>43.78</v>
      </c>
      <c r="AH112" s="7" t="s">
        <v>533</v>
      </c>
      <c r="AI112">
        <v>1374.12</v>
      </c>
    </row>
    <row r="113" spans="10:35" x14ac:dyDescent="0.25">
      <c r="J113" s="7" t="s">
        <v>743</v>
      </c>
      <c r="L113">
        <v>0</v>
      </c>
      <c r="M113">
        <v>13242.66</v>
      </c>
      <c r="N113">
        <v>14567</v>
      </c>
      <c r="O113">
        <v>13242.66</v>
      </c>
      <c r="P113">
        <v>14567</v>
      </c>
      <c r="Y113" s="6" t="s">
        <v>683</v>
      </c>
      <c r="Z113">
        <v>35488.400000000001</v>
      </c>
      <c r="AA113">
        <v>35488.400000000001</v>
      </c>
      <c r="AB113">
        <v>1</v>
      </c>
      <c r="AD113" s="7" t="s">
        <v>21</v>
      </c>
      <c r="AE113">
        <v>6222.75</v>
      </c>
      <c r="AF113">
        <v>26.98</v>
      </c>
      <c r="AH113" s="7" t="s">
        <v>545</v>
      </c>
      <c r="AI113">
        <v>79167.850000000006</v>
      </c>
    </row>
    <row r="114" spans="10:35" x14ac:dyDescent="0.25">
      <c r="J114" s="7" t="s">
        <v>462</v>
      </c>
      <c r="K114">
        <v>62371.5</v>
      </c>
      <c r="L114">
        <v>68609</v>
      </c>
      <c r="N114">
        <v>0</v>
      </c>
      <c r="O114">
        <v>62371.5</v>
      </c>
      <c r="P114">
        <v>68609</v>
      </c>
      <c r="Y114" s="6" t="s">
        <v>425</v>
      </c>
      <c r="Z114">
        <v>105317</v>
      </c>
      <c r="AA114">
        <v>52658.5</v>
      </c>
      <c r="AB114">
        <v>2</v>
      </c>
      <c r="AD114" s="6" t="s">
        <v>16</v>
      </c>
      <c r="AH114" s="7" t="s">
        <v>221</v>
      </c>
      <c r="AI114">
        <v>21370.29</v>
      </c>
    </row>
    <row r="115" spans="10:35" x14ac:dyDescent="0.25">
      <c r="J115" s="6" t="s">
        <v>2</v>
      </c>
      <c r="K115">
        <v>89072.52</v>
      </c>
      <c r="L115">
        <v>97980</v>
      </c>
      <c r="M115">
        <v>168763.73</v>
      </c>
      <c r="N115">
        <v>185640</v>
      </c>
      <c r="O115">
        <v>257836.25</v>
      </c>
      <c r="P115">
        <v>283620</v>
      </c>
      <c r="Y115" s="6" t="s">
        <v>120</v>
      </c>
      <c r="Z115">
        <v>86936.95</v>
      </c>
      <c r="AA115">
        <v>86936.95</v>
      </c>
      <c r="AB115">
        <v>1</v>
      </c>
      <c r="AD115" s="7" t="s">
        <v>617</v>
      </c>
      <c r="AE115">
        <v>32905.53</v>
      </c>
      <c r="AF115">
        <v>56.46</v>
      </c>
      <c r="AH115" s="7" t="s">
        <v>580</v>
      </c>
      <c r="AI115">
        <v>71699.37</v>
      </c>
    </row>
    <row r="116" spans="10:35" x14ac:dyDescent="0.25">
      <c r="J116" s="7" t="s">
        <v>754</v>
      </c>
      <c r="L116">
        <v>0</v>
      </c>
      <c r="M116">
        <v>81192.95</v>
      </c>
      <c r="N116">
        <v>89312</v>
      </c>
      <c r="O116">
        <v>81192.95</v>
      </c>
      <c r="P116">
        <v>89312</v>
      </c>
      <c r="Y116" s="6" t="s">
        <v>124</v>
      </c>
      <c r="Z116">
        <v>33997.99</v>
      </c>
      <c r="AA116">
        <v>33997.99</v>
      </c>
      <c r="AB116">
        <v>1</v>
      </c>
      <c r="AD116" s="7" t="s">
        <v>60</v>
      </c>
      <c r="AE116">
        <v>29270.35</v>
      </c>
      <c r="AF116">
        <v>38.85</v>
      </c>
      <c r="AH116" s="7" t="s">
        <v>145</v>
      </c>
      <c r="AI116">
        <v>44012.4</v>
      </c>
    </row>
    <row r="117" spans="10:35" x14ac:dyDescent="0.25">
      <c r="J117" s="7" t="s">
        <v>405</v>
      </c>
      <c r="L117">
        <v>0</v>
      </c>
      <c r="M117">
        <v>13893.18</v>
      </c>
      <c r="N117">
        <v>15282</v>
      </c>
      <c r="O117">
        <v>13893.18</v>
      </c>
      <c r="P117">
        <v>15282</v>
      </c>
      <c r="Y117" s="6" t="s">
        <v>21</v>
      </c>
      <c r="Z117">
        <v>6222.75</v>
      </c>
      <c r="AA117">
        <v>6222.75</v>
      </c>
      <c r="AB117">
        <v>1</v>
      </c>
      <c r="AD117" s="7" t="s">
        <v>551</v>
      </c>
      <c r="AE117">
        <v>80223.039999999994</v>
      </c>
      <c r="AF117">
        <v>68.22</v>
      </c>
      <c r="AH117" s="6" t="s">
        <v>904</v>
      </c>
      <c r="AI117">
        <v>427105.89999999997</v>
      </c>
    </row>
    <row r="118" spans="10:35" x14ac:dyDescent="0.25">
      <c r="J118" s="7" t="s">
        <v>8</v>
      </c>
      <c r="L118">
        <v>0</v>
      </c>
      <c r="M118">
        <v>73677.600000000006</v>
      </c>
      <c r="N118">
        <v>81045</v>
      </c>
      <c r="O118">
        <v>73677.600000000006</v>
      </c>
      <c r="P118">
        <v>81045</v>
      </c>
      <c r="Y118" s="6" t="s">
        <v>551</v>
      </c>
      <c r="Z118">
        <v>80223.039999999994</v>
      </c>
      <c r="AA118">
        <v>80223.039999999994</v>
      </c>
      <c r="AB118">
        <v>1</v>
      </c>
      <c r="AD118" s="7" t="s">
        <v>676</v>
      </c>
      <c r="AE118">
        <v>29801.53</v>
      </c>
      <c r="AF118">
        <v>33.369999999999997</v>
      </c>
      <c r="AH118" s="6" t="s">
        <v>905</v>
      </c>
      <c r="AI118">
        <v>8</v>
      </c>
    </row>
    <row r="119" spans="10:35" x14ac:dyDescent="0.25">
      <c r="J119" s="7" t="s">
        <v>383</v>
      </c>
      <c r="K119">
        <v>82849.77</v>
      </c>
      <c r="L119">
        <v>91135</v>
      </c>
      <c r="N119">
        <v>0</v>
      </c>
      <c r="O119">
        <v>82849.77</v>
      </c>
      <c r="P119">
        <v>91135</v>
      </c>
      <c r="Y119" s="6" t="s">
        <v>525</v>
      </c>
      <c r="Z119">
        <v>71578.97</v>
      </c>
      <c r="AA119">
        <v>71578.97</v>
      </c>
      <c r="AB119">
        <v>1</v>
      </c>
      <c r="AD119" s="7" t="s">
        <v>52</v>
      </c>
      <c r="AE119">
        <v>6435.32</v>
      </c>
      <c r="AF119">
        <v>86.28</v>
      </c>
      <c r="AH119" s="6" t="s">
        <v>906</v>
      </c>
      <c r="AI119">
        <v>53388.237499999996</v>
      </c>
    </row>
    <row r="120" spans="10:35" x14ac:dyDescent="0.25">
      <c r="J120" s="7" t="s">
        <v>21</v>
      </c>
      <c r="K120">
        <v>6222.75</v>
      </c>
      <c r="L120">
        <v>6845</v>
      </c>
      <c r="N120">
        <v>0</v>
      </c>
      <c r="O120">
        <v>6222.75</v>
      </c>
      <c r="P120">
        <v>6845</v>
      </c>
      <c r="Y120" s="6" t="s">
        <v>511</v>
      </c>
      <c r="Z120">
        <v>21442.28</v>
      </c>
      <c r="AA120">
        <v>21442.28</v>
      </c>
      <c r="AB120">
        <v>1</v>
      </c>
      <c r="AD120" s="6" t="s">
        <v>48</v>
      </c>
      <c r="AH120" s="6" t="s">
        <v>905</v>
      </c>
      <c r="AI120">
        <v>8</v>
      </c>
    </row>
    <row r="121" spans="10:35" x14ac:dyDescent="0.25">
      <c r="J121" s="6" t="s">
        <v>16</v>
      </c>
      <c r="K121">
        <v>32905.53</v>
      </c>
      <c r="L121">
        <v>36196</v>
      </c>
      <c r="M121">
        <v>145730.23999999999</v>
      </c>
      <c r="N121">
        <v>160303</v>
      </c>
      <c r="O121">
        <v>178635.77</v>
      </c>
      <c r="P121">
        <v>196499</v>
      </c>
      <c r="Y121" s="6" t="s">
        <v>154</v>
      </c>
      <c r="Z121">
        <v>36714.550000000003</v>
      </c>
      <c r="AA121">
        <v>36714.550000000003</v>
      </c>
      <c r="AB121">
        <v>1</v>
      </c>
      <c r="AD121" s="7" t="s">
        <v>110</v>
      </c>
      <c r="AE121">
        <v>48578.11</v>
      </c>
      <c r="AF121">
        <v>22.34</v>
      </c>
      <c r="AH121" s="6" t="s">
        <v>22</v>
      </c>
    </row>
    <row r="122" spans="10:35" x14ac:dyDescent="0.25">
      <c r="J122" s="7" t="s">
        <v>617</v>
      </c>
      <c r="K122">
        <v>32905.53</v>
      </c>
      <c r="L122">
        <v>36196</v>
      </c>
      <c r="N122">
        <v>0</v>
      </c>
      <c r="O122">
        <v>32905.53</v>
      </c>
      <c r="P122">
        <v>36196</v>
      </c>
      <c r="Y122" s="6" t="s">
        <v>311</v>
      </c>
      <c r="Z122">
        <v>6333.53</v>
      </c>
      <c r="AA122">
        <v>6333.53</v>
      </c>
      <c r="AB122">
        <v>1</v>
      </c>
      <c r="AD122" s="7" t="s">
        <v>137</v>
      </c>
      <c r="AE122">
        <v>8729.49</v>
      </c>
      <c r="AF122">
        <v>87.53</v>
      </c>
      <c r="AH122" s="7" t="s">
        <v>260</v>
      </c>
      <c r="AI122">
        <v>13864.85</v>
      </c>
    </row>
    <row r="123" spans="10:35" x14ac:dyDescent="0.25">
      <c r="J123" s="7" t="s">
        <v>60</v>
      </c>
      <c r="L123">
        <v>0</v>
      </c>
      <c r="M123">
        <v>29270.35</v>
      </c>
      <c r="N123">
        <v>32197</v>
      </c>
      <c r="O123">
        <v>29270.35</v>
      </c>
      <c r="P123">
        <v>32197</v>
      </c>
      <c r="Y123" s="6" t="s">
        <v>743</v>
      </c>
      <c r="Z123">
        <v>13242.66</v>
      </c>
      <c r="AA123">
        <v>13242.66</v>
      </c>
      <c r="AB123">
        <v>1</v>
      </c>
      <c r="AD123" s="7" t="s">
        <v>51</v>
      </c>
      <c r="AE123">
        <v>45144.24</v>
      </c>
      <c r="AF123">
        <v>37.54</v>
      </c>
      <c r="AH123" s="7" t="s">
        <v>65</v>
      </c>
      <c r="AI123">
        <v>13302.79</v>
      </c>
    </row>
    <row r="124" spans="10:35" x14ac:dyDescent="0.25">
      <c r="J124" s="7" t="s">
        <v>551</v>
      </c>
      <c r="L124">
        <v>0</v>
      </c>
      <c r="M124">
        <v>80223.039999999994</v>
      </c>
      <c r="N124">
        <v>88245</v>
      </c>
      <c r="O124">
        <v>80223.039999999994</v>
      </c>
      <c r="P124">
        <v>88245</v>
      </c>
      <c r="Y124" s="6" t="s">
        <v>348</v>
      </c>
      <c r="Z124">
        <v>66441.679999999993</v>
      </c>
      <c r="AA124">
        <v>66441.679999999993</v>
      </c>
      <c r="AB124">
        <v>1</v>
      </c>
      <c r="AD124" s="7" t="s">
        <v>487</v>
      </c>
      <c r="AE124">
        <v>49644.62</v>
      </c>
      <c r="AF124">
        <v>18.420000000000002</v>
      </c>
      <c r="AH124" s="7" t="s">
        <v>10</v>
      </c>
      <c r="AI124">
        <v>40608.43</v>
      </c>
    </row>
    <row r="125" spans="10:35" x14ac:dyDescent="0.25">
      <c r="J125" s="7" t="s">
        <v>676</v>
      </c>
      <c r="L125">
        <v>0</v>
      </c>
      <c r="M125">
        <v>29801.53</v>
      </c>
      <c r="N125">
        <v>32782</v>
      </c>
      <c r="O125">
        <v>29801.53</v>
      </c>
      <c r="P125">
        <v>32782</v>
      </c>
      <c r="Y125" s="6" t="s">
        <v>58</v>
      </c>
      <c r="Z125">
        <v>168499.24000000002</v>
      </c>
      <c r="AA125">
        <v>56166.413333333338</v>
      </c>
      <c r="AB125">
        <v>3</v>
      </c>
      <c r="AD125" s="7" t="s">
        <v>211</v>
      </c>
      <c r="AE125">
        <v>71538.320000000007</v>
      </c>
      <c r="AF125">
        <v>42.29</v>
      </c>
      <c r="AH125" s="7" t="s">
        <v>421</v>
      </c>
      <c r="AI125">
        <v>33296.620000000003</v>
      </c>
    </row>
    <row r="126" spans="10:35" x14ac:dyDescent="0.25">
      <c r="J126" s="7" t="s">
        <v>52</v>
      </c>
      <c r="L126">
        <v>0</v>
      </c>
      <c r="M126">
        <v>6435.32</v>
      </c>
      <c r="N126">
        <v>7079</v>
      </c>
      <c r="O126">
        <v>6435.32</v>
      </c>
      <c r="P126">
        <v>7079</v>
      </c>
      <c r="Y126" s="6" t="s">
        <v>672</v>
      </c>
      <c r="Z126">
        <v>35319.5</v>
      </c>
      <c r="AA126">
        <v>35319.5</v>
      </c>
      <c r="AB126">
        <v>1</v>
      </c>
      <c r="AD126" s="7" t="s">
        <v>683</v>
      </c>
      <c r="AE126">
        <v>35488.400000000001</v>
      </c>
      <c r="AF126">
        <v>72.680000000000007</v>
      </c>
      <c r="AH126" s="7" t="s">
        <v>429</v>
      </c>
      <c r="AI126">
        <v>32464.2</v>
      </c>
    </row>
    <row r="127" spans="10:35" x14ac:dyDescent="0.25">
      <c r="J127" s="6" t="s">
        <v>48</v>
      </c>
      <c r="K127">
        <v>92796</v>
      </c>
      <c r="L127">
        <v>102076</v>
      </c>
      <c r="M127">
        <v>356879.28</v>
      </c>
      <c r="N127">
        <v>392567</v>
      </c>
      <c r="O127">
        <v>449675.27999999997</v>
      </c>
      <c r="P127">
        <v>494643</v>
      </c>
      <c r="Y127" s="6" t="s">
        <v>85</v>
      </c>
      <c r="Z127">
        <v>74933.490000000005</v>
      </c>
      <c r="AA127">
        <v>74933.490000000005</v>
      </c>
      <c r="AB127">
        <v>1</v>
      </c>
      <c r="AD127" s="7" t="s">
        <v>511</v>
      </c>
      <c r="AE127">
        <v>21442.28</v>
      </c>
      <c r="AF127">
        <v>8.25</v>
      </c>
      <c r="AH127" s="6" t="s">
        <v>907</v>
      </c>
      <c r="AI127">
        <v>133536.89000000001</v>
      </c>
    </row>
    <row r="128" spans="10:35" x14ac:dyDescent="0.25">
      <c r="J128" s="7" t="s">
        <v>110</v>
      </c>
      <c r="K128">
        <v>48578.11</v>
      </c>
      <c r="L128">
        <v>53436</v>
      </c>
      <c r="N128">
        <v>0</v>
      </c>
      <c r="O128">
        <v>48578.11</v>
      </c>
      <c r="P128">
        <v>53436</v>
      </c>
      <c r="Y128" s="6" t="s">
        <v>91</v>
      </c>
      <c r="Z128">
        <v>48316.49</v>
      </c>
      <c r="AA128">
        <v>48316.49</v>
      </c>
      <c r="AB128">
        <v>1</v>
      </c>
      <c r="AD128" s="7" t="s">
        <v>251</v>
      </c>
      <c r="AE128">
        <v>79446.820000000007</v>
      </c>
      <c r="AF128">
        <v>33.53</v>
      </c>
      <c r="AH128" s="6" t="s">
        <v>908</v>
      </c>
      <c r="AI128">
        <v>5</v>
      </c>
    </row>
    <row r="129" spans="10:35" x14ac:dyDescent="0.25">
      <c r="J129" s="7" t="s">
        <v>137</v>
      </c>
      <c r="K129">
        <v>8729.49</v>
      </c>
      <c r="L129">
        <v>9602</v>
      </c>
      <c r="N129">
        <v>0</v>
      </c>
      <c r="O129">
        <v>8729.49</v>
      </c>
      <c r="P129">
        <v>9602</v>
      </c>
      <c r="Y129" s="6" t="s">
        <v>132</v>
      </c>
      <c r="Z129">
        <v>116663.9</v>
      </c>
      <c r="AA129">
        <v>58331.95</v>
      </c>
      <c r="AB129">
        <v>2</v>
      </c>
      <c r="AD129" s="7" t="s">
        <v>479</v>
      </c>
      <c r="AE129">
        <v>89663</v>
      </c>
      <c r="AF129">
        <v>86.63</v>
      </c>
      <c r="AH129" s="6" t="s">
        <v>909</v>
      </c>
      <c r="AI129">
        <v>26707.378000000004</v>
      </c>
    </row>
    <row r="130" spans="10:35" x14ac:dyDescent="0.25">
      <c r="J130" s="7" t="s">
        <v>51</v>
      </c>
      <c r="L130">
        <v>0</v>
      </c>
      <c r="M130">
        <v>45144.24</v>
      </c>
      <c r="N130">
        <v>49659</v>
      </c>
      <c r="O130">
        <v>45144.24</v>
      </c>
      <c r="P130">
        <v>49659</v>
      </c>
      <c r="Y130" s="6" t="s">
        <v>106</v>
      </c>
      <c r="Z130">
        <v>47010.8</v>
      </c>
      <c r="AA130">
        <v>23505.4</v>
      </c>
      <c r="AB130">
        <v>2</v>
      </c>
      <c r="AD130" s="6" t="s">
        <v>37</v>
      </c>
      <c r="AH130" s="6" t="s">
        <v>908</v>
      </c>
      <c r="AI130">
        <v>5</v>
      </c>
    </row>
    <row r="131" spans="10:35" x14ac:dyDescent="0.25">
      <c r="J131" s="7" t="s">
        <v>487</v>
      </c>
      <c r="L131">
        <v>0</v>
      </c>
      <c r="M131">
        <v>49644.62</v>
      </c>
      <c r="N131">
        <v>54609</v>
      </c>
      <c r="O131">
        <v>49644.62</v>
      </c>
      <c r="P131">
        <v>54609</v>
      </c>
      <c r="Y131" s="6" t="s">
        <v>10</v>
      </c>
      <c r="Z131">
        <v>134091.13999999998</v>
      </c>
      <c r="AA131">
        <v>44697.046666666662</v>
      </c>
      <c r="AB131">
        <v>3</v>
      </c>
      <c r="AD131" s="7" t="s">
        <v>589</v>
      </c>
      <c r="AE131">
        <v>85264.3</v>
      </c>
      <c r="AF131">
        <v>53.22</v>
      </c>
      <c r="AH131" s="6" t="s">
        <v>23</v>
      </c>
    </row>
    <row r="132" spans="10:35" x14ac:dyDescent="0.25">
      <c r="J132" s="7" t="s">
        <v>211</v>
      </c>
      <c r="L132">
        <v>0</v>
      </c>
      <c r="M132">
        <v>71538.320000000007</v>
      </c>
      <c r="N132">
        <v>78692</v>
      </c>
      <c r="O132">
        <v>71538.320000000007</v>
      </c>
      <c r="P132">
        <v>78692</v>
      </c>
      <c r="Y132" s="6" t="s">
        <v>759</v>
      </c>
      <c r="Z132">
        <v>80641.86</v>
      </c>
      <c r="AA132">
        <v>80641.86</v>
      </c>
      <c r="AB132">
        <v>1</v>
      </c>
      <c r="AD132" s="7" t="s">
        <v>24</v>
      </c>
      <c r="AE132">
        <v>26129.51</v>
      </c>
      <c r="AF132">
        <v>67.290000000000006</v>
      </c>
      <c r="AH132" s="7" t="s">
        <v>687</v>
      </c>
      <c r="AI132">
        <v>55239.21</v>
      </c>
    </row>
    <row r="133" spans="10:35" x14ac:dyDescent="0.25">
      <c r="J133" s="7" t="s">
        <v>683</v>
      </c>
      <c r="K133">
        <v>35488.400000000001</v>
      </c>
      <c r="L133">
        <v>39037</v>
      </c>
      <c r="N133">
        <v>0</v>
      </c>
      <c r="O133">
        <v>35488.400000000001</v>
      </c>
      <c r="P133">
        <v>39037</v>
      </c>
      <c r="Y133" s="6" t="s">
        <v>159</v>
      </c>
      <c r="Z133">
        <v>86567.11</v>
      </c>
      <c r="AA133">
        <v>86567.11</v>
      </c>
      <c r="AB133">
        <v>1</v>
      </c>
      <c r="AD133" s="7" t="s">
        <v>360</v>
      </c>
      <c r="AE133">
        <v>16107.59</v>
      </c>
      <c r="AF133">
        <v>33.51</v>
      </c>
      <c r="AH133" s="7" t="s">
        <v>500</v>
      </c>
      <c r="AI133">
        <v>33731.56</v>
      </c>
    </row>
    <row r="134" spans="10:35" x14ac:dyDescent="0.25">
      <c r="J134" s="7" t="s">
        <v>511</v>
      </c>
      <c r="L134">
        <v>0</v>
      </c>
      <c r="M134">
        <v>21442.28</v>
      </c>
      <c r="N134">
        <v>23587</v>
      </c>
      <c r="O134">
        <v>21442.28</v>
      </c>
      <c r="P134">
        <v>23587</v>
      </c>
      <c r="Y134" s="6" t="s">
        <v>635</v>
      </c>
      <c r="Z134">
        <v>34956.1</v>
      </c>
      <c r="AA134">
        <v>17478.05</v>
      </c>
      <c r="AB134">
        <v>2</v>
      </c>
      <c r="AD134" s="7" t="s">
        <v>370</v>
      </c>
      <c r="AE134">
        <v>25016.46</v>
      </c>
      <c r="AF134">
        <v>59.25</v>
      </c>
      <c r="AH134" s="7" t="s">
        <v>50</v>
      </c>
      <c r="AI134">
        <v>85416.21</v>
      </c>
    </row>
    <row r="135" spans="10:35" x14ac:dyDescent="0.25">
      <c r="J135" s="7" t="s">
        <v>251</v>
      </c>
      <c r="L135">
        <v>0</v>
      </c>
      <c r="M135">
        <v>79446.820000000007</v>
      </c>
      <c r="N135">
        <v>87392</v>
      </c>
      <c r="O135">
        <v>79446.820000000007</v>
      </c>
      <c r="P135">
        <v>87392</v>
      </c>
      <c r="Y135" s="6" t="s">
        <v>676</v>
      </c>
      <c r="Z135">
        <v>29801.53</v>
      </c>
      <c r="AA135">
        <v>29801.53</v>
      </c>
      <c r="AB135">
        <v>1</v>
      </c>
      <c r="AD135" s="7" t="s">
        <v>25</v>
      </c>
      <c r="AE135">
        <v>45970.59</v>
      </c>
      <c r="AF135">
        <v>84.76</v>
      </c>
      <c r="AH135" s="7" t="s">
        <v>243</v>
      </c>
      <c r="AI135">
        <v>56385.51</v>
      </c>
    </row>
    <row r="136" spans="10:35" x14ac:dyDescent="0.25">
      <c r="J136" s="7" t="s">
        <v>479</v>
      </c>
      <c r="L136">
        <v>0</v>
      </c>
      <c r="M136">
        <v>89663</v>
      </c>
      <c r="N136">
        <v>98629</v>
      </c>
      <c r="O136">
        <v>89663</v>
      </c>
      <c r="P136">
        <v>98629</v>
      </c>
      <c r="Y136" s="6" t="s">
        <v>56</v>
      </c>
      <c r="Z136">
        <v>571.11</v>
      </c>
      <c r="AA136">
        <v>571.11</v>
      </c>
      <c r="AB136">
        <v>1</v>
      </c>
      <c r="AD136" s="7" t="s">
        <v>102</v>
      </c>
      <c r="AE136">
        <v>65095.51</v>
      </c>
      <c r="AF136">
        <v>88.55</v>
      </c>
      <c r="AH136" s="7" t="s">
        <v>672</v>
      </c>
      <c r="AI136">
        <v>35319.5</v>
      </c>
    </row>
    <row r="137" spans="10:35" x14ac:dyDescent="0.25">
      <c r="J137" s="6" t="s">
        <v>37</v>
      </c>
      <c r="K137">
        <v>153298.75</v>
      </c>
      <c r="L137">
        <v>168629</v>
      </c>
      <c r="M137">
        <v>319686.07</v>
      </c>
      <c r="N137">
        <v>351655</v>
      </c>
      <c r="O137">
        <v>472984.82</v>
      </c>
      <c r="P137">
        <v>520283</v>
      </c>
      <c r="Y137" s="6" t="s">
        <v>52</v>
      </c>
      <c r="Z137">
        <v>43276.33</v>
      </c>
      <c r="AA137">
        <v>21638.165000000001</v>
      </c>
      <c r="AB137">
        <v>2</v>
      </c>
      <c r="AD137" s="7" t="s">
        <v>281</v>
      </c>
      <c r="AE137">
        <v>17679.95</v>
      </c>
      <c r="AF137">
        <v>83.58</v>
      </c>
      <c r="AH137" s="7" t="s">
        <v>565</v>
      </c>
      <c r="AI137">
        <v>64562.14</v>
      </c>
    </row>
    <row r="138" spans="10:35" x14ac:dyDescent="0.25">
      <c r="J138" s="7" t="s">
        <v>589</v>
      </c>
      <c r="L138">
        <v>0</v>
      </c>
      <c r="M138">
        <v>85264.3</v>
      </c>
      <c r="N138">
        <v>93791</v>
      </c>
      <c r="O138">
        <v>85264.3</v>
      </c>
      <c r="P138">
        <v>93791</v>
      </c>
      <c r="Y138" s="6" t="s">
        <v>580</v>
      </c>
      <c r="Z138">
        <v>71699.37</v>
      </c>
      <c r="AA138">
        <v>71699.37</v>
      </c>
      <c r="AB138">
        <v>1</v>
      </c>
      <c r="AD138" s="7" t="s">
        <v>425</v>
      </c>
      <c r="AE138">
        <v>82311.7</v>
      </c>
      <c r="AF138">
        <v>55.66</v>
      </c>
      <c r="AH138" s="6" t="s">
        <v>910</v>
      </c>
      <c r="AI138">
        <v>330654.13</v>
      </c>
    </row>
    <row r="139" spans="10:35" x14ac:dyDescent="0.25">
      <c r="J139" s="7" t="s">
        <v>24</v>
      </c>
      <c r="L139">
        <v>0</v>
      </c>
      <c r="M139">
        <v>26129.51</v>
      </c>
      <c r="N139">
        <v>28742</v>
      </c>
      <c r="O139">
        <v>26129.51</v>
      </c>
      <c r="P139">
        <v>28742</v>
      </c>
      <c r="Y139" s="6" t="s">
        <v>777</v>
      </c>
      <c r="Z139">
        <v>37103.4</v>
      </c>
      <c r="AA139">
        <v>37103.4</v>
      </c>
      <c r="AB139">
        <v>1</v>
      </c>
      <c r="AD139" s="7" t="s">
        <v>58</v>
      </c>
      <c r="AE139">
        <v>71347.63</v>
      </c>
      <c r="AF139">
        <v>2.84</v>
      </c>
      <c r="AH139" s="6" t="s">
        <v>911</v>
      </c>
      <c r="AI139">
        <v>6</v>
      </c>
    </row>
    <row r="140" spans="10:35" x14ac:dyDescent="0.25">
      <c r="J140" s="7" t="s">
        <v>360</v>
      </c>
      <c r="L140">
        <v>0</v>
      </c>
      <c r="M140">
        <v>16107.59</v>
      </c>
      <c r="N140">
        <v>17718</v>
      </c>
      <c r="O140">
        <v>16107.59</v>
      </c>
      <c r="P140">
        <v>17718</v>
      </c>
      <c r="Y140" s="6" t="s">
        <v>387</v>
      </c>
      <c r="Z140">
        <v>48371.360000000001</v>
      </c>
      <c r="AA140">
        <v>48371.360000000001</v>
      </c>
      <c r="AB140">
        <v>1</v>
      </c>
      <c r="AD140" s="7" t="s">
        <v>797</v>
      </c>
      <c r="AE140">
        <v>38061.58</v>
      </c>
      <c r="AF140">
        <v>55.49</v>
      </c>
      <c r="AH140" s="6" t="s">
        <v>912</v>
      </c>
      <c r="AI140">
        <v>55109.021666666667</v>
      </c>
    </row>
    <row r="141" spans="10:35" x14ac:dyDescent="0.25">
      <c r="J141" s="7" t="s">
        <v>370</v>
      </c>
      <c r="K141">
        <v>25016.46</v>
      </c>
      <c r="L141">
        <v>27518</v>
      </c>
      <c r="N141">
        <v>0</v>
      </c>
      <c r="O141">
        <v>25016.46</v>
      </c>
      <c r="P141">
        <v>27518</v>
      </c>
      <c r="Y141" s="6" t="s">
        <v>471</v>
      </c>
      <c r="Z141">
        <v>49573.54</v>
      </c>
      <c r="AA141">
        <v>49573.54</v>
      </c>
      <c r="AB141">
        <v>1</v>
      </c>
      <c r="AD141" s="6" t="s">
        <v>13</v>
      </c>
      <c r="AH141" s="6" t="s">
        <v>911</v>
      </c>
      <c r="AI141">
        <v>6</v>
      </c>
    </row>
    <row r="142" spans="10:35" x14ac:dyDescent="0.25">
      <c r="J142" s="7" t="s">
        <v>25</v>
      </c>
      <c r="K142">
        <v>45970.59</v>
      </c>
      <c r="L142">
        <v>50568</v>
      </c>
      <c r="N142">
        <v>0</v>
      </c>
      <c r="O142">
        <v>45970.59</v>
      </c>
      <c r="P142">
        <v>50568</v>
      </c>
      <c r="Y142" s="6" t="s">
        <v>797</v>
      </c>
      <c r="Z142">
        <v>38061.58</v>
      </c>
      <c r="AA142">
        <v>38061.58</v>
      </c>
      <c r="AB142">
        <v>1</v>
      </c>
      <c r="AD142" s="7" t="s">
        <v>55</v>
      </c>
      <c r="AE142">
        <v>62968.51</v>
      </c>
      <c r="AF142">
        <v>82.23</v>
      </c>
      <c r="AH142" s="6" t="s">
        <v>71</v>
      </c>
    </row>
    <row r="143" spans="10:35" x14ac:dyDescent="0.25">
      <c r="J143" s="7" t="s">
        <v>102</v>
      </c>
      <c r="L143">
        <v>0</v>
      </c>
      <c r="M143">
        <v>65095.51</v>
      </c>
      <c r="N143">
        <v>71605</v>
      </c>
      <c r="O143">
        <v>65095.51</v>
      </c>
      <c r="P143">
        <v>71605</v>
      </c>
      <c r="Y143" s="6" t="s">
        <v>273</v>
      </c>
      <c r="Z143">
        <v>71549.95</v>
      </c>
      <c r="AA143">
        <v>71549.95</v>
      </c>
      <c r="AB143">
        <v>1</v>
      </c>
      <c r="AD143" s="7" t="s">
        <v>49</v>
      </c>
      <c r="AE143">
        <v>88193.17</v>
      </c>
      <c r="AF143">
        <v>29.13</v>
      </c>
      <c r="AH143" s="7" t="s">
        <v>401</v>
      </c>
      <c r="AI143">
        <v>46521.04</v>
      </c>
    </row>
    <row r="144" spans="10:35" x14ac:dyDescent="0.25">
      <c r="J144" s="7" t="s">
        <v>281</v>
      </c>
      <c r="L144">
        <v>0</v>
      </c>
      <c r="M144">
        <v>17679.95</v>
      </c>
      <c r="N144">
        <v>19448</v>
      </c>
      <c r="O144">
        <v>17679.95</v>
      </c>
      <c r="P144">
        <v>19448</v>
      </c>
      <c r="Y144" s="6" t="s">
        <v>621</v>
      </c>
      <c r="Z144">
        <v>85602.37</v>
      </c>
      <c r="AA144">
        <v>42801.184999999998</v>
      </c>
      <c r="AB144">
        <v>2</v>
      </c>
      <c r="AD144" s="7" t="s">
        <v>811</v>
      </c>
      <c r="AE144">
        <v>40457.550000000003</v>
      </c>
      <c r="AF144">
        <v>14.01</v>
      </c>
      <c r="AH144" s="7" t="s">
        <v>764</v>
      </c>
      <c r="AI144">
        <v>7813.36</v>
      </c>
    </row>
    <row r="145" spans="10:35" x14ac:dyDescent="0.25">
      <c r="J145" s="7" t="s">
        <v>425</v>
      </c>
      <c r="K145">
        <v>82311.7</v>
      </c>
      <c r="L145">
        <v>90543</v>
      </c>
      <c r="N145">
        <v>0</v>
      </c>
      <c r="O145">
        <v>82311.7</v>
      </c>
      <c r="P145">
        <v>90543</v>
      </c>
      <c r="Y145" s="6" t="s">
        <v>739</v>
      </c>
      <c r="Z145">
        <v>16035.43</v>
      </c>
      <c r="AA145">
        <v>16035.43</v>
      </c>
      <c r="AB145">
        <v>1</v>
      </c>
      <c r="AD145" s="7" t="s">
        <v>323</v>
      </c>
      <c r="AE145">
        <v>61803.49</v>
      </c>
      <c r="AF145">
        <v>29.04</v>
      </c>
      <c r="AH145" s="7" t="s">
        <v>370</v>
      </c>
      <c r="AI145">
        <v>30979.24</v>
      </c>
    </row>
    <row r="146" spans="10:35" x14ac:dyDescent="0.25">
      <c r="J146" s="7" t="s">
        <v>58</v>
      </c>
      <c r="L146">
        <v>0</v>
      </c>
      <c r="M146">
        <v>71347.63</v>
      </c>
      <c r="N146">
        <v>78482</v>
      </c>
      <c r="O146">
        <v>71347.63</v>
      </c>
      <c r="P146">
        <v>78482</v>
      </c>
      <c r="Y146" s="6" t="s">
        <v>655</v>
      </c>
      <c r="Z146">
        <v>34729.96</v>
      </c>
      <c r="AA146">
        <v>34729.96</v>
      </c>
      <c r="AB146">
        <v>1</v>
      </c>
      <c r="AD146" s="7" t="s">
        <v>348</v>
      </c>
      <c r="AE146">
        <v>66441.679999999993</v>
      </c>
      <c r="AF146">
        <v>20.22</v>
      </c>
      <c r="AH146" s="7" t="s">
        <v>69</v>
      </c>
      <c r="AI146">
        <v>83696.009999999995</v>
      </c>
    </row>
    <row r="147" spans="10:35" x14ac:dyDescent="0.25">
      <c r="J147" s="7" t="s">
        <v>797</v>
      </c>
      <c r="L147">
        <v>0</v>
      </c>
      <c r="M147">
        <v>38061.58</v>
      </c>
      <c r="N147">
        <v>41868</v>
      </c>
      <c r="O147">
        <v>38061.58</v>
      </c>
      <c r="P147">
        <v>41868</v>
      </c>
      <c r="Y147" s="6" t="s">
        <v>255</v>
      </c>
      <c r="Z147">
        <v>114582.67</v>
      </c>
      <c r="AA147">
        <v>38194.223333333335</v>
      </c>
      <c r="AB147">
        <v>3</v>
      </c>
      <c r="AD147" s="7" t="s">
        <v>52</v>
      </c>
      <c r="AE147">
        <v>36841.01</v>
      </c>
      <c r="AF147">
        <v>8.48</v>
      </c>
      <c r="AH147" s="7" t="s">
        <v>25</v>
      </c>
      <c r="AI147">
        <v>57571.13</v>
      </c>
    </row>
    <row r="148" spans="10:35" x14ac:dyDescent="0.25">
      <c r="J148" s="6" t="s">
        <v>13</v>
      </c>
      <c r="K148">
        <v>202070.56</v>
      </c>
      <c r="L148">
        <v>222278</v>
      </c>
      <c r="M148">
        <v>225848.07999999996</v>
      </c>
      <c r="N148">
        <v>248433</v>
      </c>
      <c r="O148">
        <v>427918.63999999996</v>
      </c>
      <c r="P148">
        <v>470711</v>
      </c>
      <c r="Y148" s="6" t="s">
        <v>269</v>
      </c>
      <c r="Z148">
        <v>10271.66</v>
      </c>
      <c r="AA148">
        <v>10271.66</v>
      </c>
      <c r="AB148">
        <v>1</v>
      </c>
      <c r="AD148" s="7" t="s">
        <v>215</v>
      </c>
      <c r="AE148">
        <v>71213.23</v>
      </c>
      <c r="AF148">
        <v>4.91</v>
      </c>
      <c r="AH148" s="7" t="s">
        <v>228</v>
      </c>
      <c r="AI148">
        <v>5829.39</v>
      </c>
    </row>
    <row r="149" spans="10:35" x14ac:dyDescent="0.25">
      <c r="J149" s="7" t="s">
        <v>55</v>
      </c>
      <c r="K149">
        <v>62968.51</v>
      </c>
      <c r="L149">
        <v>69265</v>
      </c>
      <c r="N149">
        <v>0</v>
      </c>
      <c r="O149">
        <v>62968.51</v>
      </c>
      <c r="P149">
        <v>69265</v>
      </c>
      <c r="Y149" s="6" t="s">
        <v>296</v>
      </c>
      <c r="Z149">
        <v>88525.6</v>
      </c>
      <c r="AA149">
        <v>88525.6</v>
      </c>
      <c r="AB149">
        <v>1</v>
      </c>
      <c r="AD149" s="6" t="s">
        <v>12</v>
      </c>
      <c r="AH149" s="7" t="s">
        <v>759</v>
      </c>
      <c r="AI149">
        <v>80641.86</v>
      </c>
    </row>
    <row r="150" spans="10:35" x14ac:dyDescent="0.25">
      <c r="J150" s="7" t="s">
        <v>49</v>
      </c>
      <c r="L150">
        <v>0</v>
      </c>
      <c r="M150">
        <v>88193.17</v>
      </c>
      <c r="N150">
        <v>97012</v>
      </c>
      <c r="O150">
        <v>88193.17</v>
      </c>
      <c r="P150">
        <v>97012</v>
      </c>
      <c r="Y150" s="6" t="s">
        <v>145</v>
      </c>
      <c r="Z150">
        <v>89027.92</v>
      </c>
      <c r="AA150">
        <v>44513.96</v>
      </c>
      <c r="AB150">
        <v>2</v>
      </c>
      <c r="AD150" s="7" t="s">
        <v>728</v>
      </c>
      <c r="AE150">
        <v>64703.05</v>
      </c>
      <c r="AF150">
        <v>95.13</v>
      </c>
      <c r="AH150" s="7" t="s">
        <v>518</v>
      </c>
      <c r="AI150">
        <v>50739.62</v>
      </c>
    </row>
    <row r="151" spans="10:35" x14ac:dyDescent="0.25">
      <c r="J151" s="7" t="s">
        <v>811</v>
      </c>
      <c r="K151">
        <v>40457.550000000003</v>
      </c>
      <c r="L151">
        <v>44503</v>
      </c>
      <c r="N151">
        <v>0</v>
      </c>
      <c r="O151">
        <v>40457.550000000003</v>
      </c>
      <c r="P151">
        <v>44503</v>
      </c>
      <c r="Y151" s="6" t="s">
        <v>565</v>
      </c>
      <c r="Z151">
        <v>64562.14</v>
      </c>
      <c r="AA151">
        <v>64562.14</v>
      </c>
      <c r="AB151">
        <v>1</v>
      </c>
      <c r="AD151" s="7" t="s">
        <v>458</v>
      </c>
      <c r="AE151">
        <v>12962.91</v>
      </c>
      <c r="AF151">
        <v>14.14</v>
      </c>
      <c r="AH151" s="6" t="s">
        <v>913</v>
      </c>
      <c r="AI151">
        <v>363791.65</v>
      </c>
    </row>
    <row r="152" spans="10:35" x14ac:dyDescent="0.25">
      <c r="J152" s="7" t="s">
        <v>323</v>
      </c>
      <c r="K152">
        <v>61803.49</v>
      </c>
      <c r="L152">
        <v>67984</v>
      </c>
      <c r="N152">
        <v>0</v>
      </c>
      <c r="O152">
        <v>61803.49</v>
      </c>
      <c r="P152">
        <v>67984</v>
      </c>
      <c r="Y152" s="6" t="s">
        <v>421</v>
      </c>
      <c r="Z152">
        <v>33296.620000000003</v>
      </c>
      <c r="AA152">
        <v>33296.620000000003</v>
      </c>
      <c r="AB152">
        <v>1</v>
      </c>
      <c r="AD152" s="7" t="s">
        <v>356</v>
      </c>
      <c r="AE152">
        <v>41410.54</v>
      </c>
      <c r="AF152">
        <v>61.66</v>
      </c>
      <c r="AH152" s="6" t="s">
        <v>914</v>
      </c>
      <c r="AI152">
        <v>8</v>
      </c>
    </row>
    <row r="153" spans="10:35" x14ac:dyDescent="0.25">
      <c r="J153" s="7" t="s">
        <v>348</v>
      </c>
      <c r="L153">
        <v>0</v>
      </c>
      <c r="M153">
        <v>66441.679999999993</v>
      </c>
      <c r="N153">
        <v>73086</v>
      </c>
      <c r="O153">
        <v>66441.679999999993</v>
      </c>
      <c r="P153">
        <v>73086</v>
      </c>
      <c r="Y153" s="6" t="s">
        <v>251</v>
      </c>
      <c r="Z153">
        <v>115932.38</v>
      </c>
      <c r="AA153">
        <v>57966.19</v>
      </c>
      <c r="AB153">
        <v>2</v>
      </c>
      <c r="AD153" s="7" t="s">
        <v>208</v>
      </c>
      <c r="AE153">
        <v>6380.07</v>
      </c>
      <c r="AF153">
        <v>78.31</v>
      </c>
      <c r="AH153" s="6" t="s">
        <v>915</v>
      </c>
      <c r="AI153">
        <v>45473.956250000003</v>
      </c>
    </row>
    <row r="154" spans="10:35" x14ac:dyDescent="0.25">
      <c r="J154" s="7" t="s">
        <v>52</v>
      </c>
      <c r="K154">
        <v>36841.01</v>
      </c>
      <c r="L154">
        <v>40525</v>
      </c>
      <c r="N154">
        <v>0</v>
      </c>
      <c r="O154">
        <v>36841.01</v>
      </c>
      <c r="P154">
        <v>40525</v>
      </c>
      <c r="Y154" s="6" t="s">
        <v>479</v>
      </c>
      <c r="Z154">
        <v>89663</v>
      </c>
      <c r="AA154">
        <v>89663</v>
      </c>
      <c r="AB154">
        <v>1</v>
      </c>
      <c r="AD154" s="7" t="s">
        <v>25</v>
      </c>
      <c r="AE154">
        <v>78764.62</v>
      </c>
      <c r="AF154">
        <v>96.17</v>
      </c>
      <c r="AH154" s="6" t="s">
        <v>914</v>
      </c>
      <c r="AI154">
        <v>8</v>
      </c>
    </row>
    <row r="155" spans="10:35" x14ac:dyDescent="0.25">
      <c r="J155" s="7" t="s">
        <v>215</v>
      </c>
      <c r="L155">
        <v>0</v>
      </c>
      <c r="M155">
        <v>71213.23</v>
      </c>
      <c r="N155">
        <v>78335</v>
      </c>
      <c r="O155">
        <v>71213.23</v>
      </c>
      <c r="P155">
        <v>78335</v>
      </c>
      <c r="Y155" s="6" t="s">
        <v>29</v>
      </c>
      <c r="Z155">
        <v>65413.5</v>
      </c>
      <c r="AA155">
        <v>65413.5</v>
      </c>
      <c r="AB155">
        <v>1</v>
      </c>
      <c r="AD155" s="7" t="s">
        <v>58</v>
      </c>
      <c r="AE155">
        <v>46271.88</v>
      </c>
      <c r="AF155">
        <v>52.93</v>
      </c>
      <c r="AH155" s="6" t="s">
        <v>27</v>
      </c>
    </row>
    <row r="156" spans="10:35" x14ac:dyDescent="0.25">
      <c r="J156" s="6" t="s">
        <v>12</v>
      </c>
      <c r="K156">
        <v>389541.94</v>
      </c>
      <c r="L156">
        <v>428496</v>
      </c>
      <c r="M156">
        <v>102885.81999999999</v>
      </c>
      <c r="N156">
        <v>113174</v>
      </c>
      <c r="O156">
        <v>492427.76</v>
      </c>
      <c r="P156">
        <v>541671</v>
      </c>
      <c r="Y156" s="6" t="s">
        <v>691</v>
      </c>
      <c r="Z156">
        <v>67620.27</v>
      </c>
      <c r="AA156">
        <v>67620.27</v>
      </c>
      <c r="AB156">
        <v>1</v>
      </c>
      <c r="AD156" s="7" t="s">
        <v>85</v>
      </c>
      <c r="AE156">
        <v>74933.490000000005</v>
      </c>
      <c r="AF156">
        <v>80.260000000000005</v>
      </c>
      <c r="AH156" s="7" t="s">
        <v>687</v>
      </c>
      <c r="AI156">
        <v>87003.39</v>
      </c>
    </row>
    <row r="157" spans="10:35" x14ac:dyDescent="0.25">
      <c r="J157" s="7" t="s">
        <v>728</v>
      </c>
      <c r="K157">
        <v>64703.05</v>
      </c>
      <c r="L157">
        <v>71173</v>
      </c>
      <c r="N157">
        <v>0</v>
      </c>
      <c r="O157">
        <v>64703.05</v>
      </c>
      <c r="P157">
        <v>71173</v>
      </c>
      <c r="Y157" s="6" t="s">
        <v>429</v>
      </c>
      <c r="Z157">
        <v>32464.2</v>
      </c>
      <c r="AA157">
        <v>32464.2</v>
      </c>
      <c r="AB157">
        <v>1</v>
      </c>
      <c r="AD157" s="7" t="s">
        <v>10</v>
      </c>
      <c r="AE157">
        <v>66175.759999999995</v>
      </c>
      <c r="AF157">
        <v>34.630000000000003</v>
      </c>
      <c r="AH157" s="6" t="s">
        <v>916</v>
      </c>
      <c r="AI157">
        <v>87003.39</v>
      </c>
    </row>
    <row r="158" spans="10:35" x14ac:dyDescent="0.25">
      <c r="J158" s="7" t="s">
        <v>458</v>
      </c>
      <c r="K158">
        <v>12962.91</v>
      </c>
      <c r="L158">
        <v>14259</v>
      </c>
      <c r="N158">
        <v>0</v>
      </c>
      <c r="O158">
        <v>12962.91</v>
      </c>
      <c r="P158">
        <v>14259</v>
      </c>
      <c r="Y158" s="6" t="s">
        <v>805</v>
      </c>
      <c r="Z158">
        <v>4118.1499999999996</v>
      </c>
      <c r="AA158">
        <v>4118.1499999999996</v>
      </c>
      <c r="AB158">
        <v>1</v>
      </c>
      <c r="AD158" s="7" t="s">
        <v>621</v>
      </c>
      <c r="AE158">
        <v>79253.179999999993</v>
      </c>
      <c r="AF158">
        <v>38.119999999999997</v>
      </c>
      <c r="AH158" s="6" t="s">
        <v>917</v>
      </c>
      <c r="AI158">
        <v>1</v>
      </c>
    </row>
    <row r="159" spans="10:35" x14ac:dyDescent="0.25">
      <c r="J159" s="7" t="s">
        <v>356</v>
      </c>
      <c r="K159">
        <v>41410.54</v>
      </c>
      <c r="L159">
        <v>45552</v>
      </c>
      <c r="N159">
        <v>0</v>
      </c>
      <c r="O159">
        <v>41410.54</v>
      </c>
      <c r="P159">
        <v>45552</v>
      </c>
      <c r="Y159" s="6" t="s">
        <v>215</v>
      </c>
      <c r="Z159">
        <v>71213.23</v>
      </c>
      <c r="AA159">
        <v>71213.23</v>
      </c>
      <c r="AB159">
        <v>1</v>
      </c>
      <c r="AD159" s="7" t="s">
        <v>596</v>
      </c>
      <c r="AE159">
        <v>21572.26</v>
      </c>
      <c r="AF159">
        <v>85.44</v>
      </c>
      <c r="AH159" s="6" t="s">
        <v>918</v>
      </c>
      <c r="AI159">
        <v>87003.39</v>
      </c>
    </row>
    <row r="160" spans="10:35" x14ac:dyDescent="0.25">
      <c r="J160" s="7" t="s">
        <v>208</v>
      </c>
      <c r="L160">
        <v>0</v>
      </c>
      <c r="M160">
        <v>6380.07</v>
      </c>
      <c r="N160">
        <v>7018</v>
      </c>
      <c r="O160">
        <v>6380.07</v>
      </c>
      <c r="P160">
        <v>7018</v>
      </c>
      <c r="Y160" s="6" t="s">
        <v>518</v>
      </c>
      <c r="Z160">
        <v>200864.43</v>
      </c>
      <c r="AA160">
        <v>66954.81</v>
      </c>
      <c r="AB160">
        <v>3</v>
      </c>
      <c r="AD160" s="6" t="s">
        <v>15</v>
      </c>
      <c r="AH160" s="6" t="s">
        <v>917</v>
      </c>
      <c r="AI160">
        <v>1</v>
      </c>
    </row>
    <row r="161" spans="10:35" x14ac:dyDescent="0.25">
      <c r="J161" s="7" t="s">
        <v>25</v>
      </c>
      <c r="K161">
        <v>78764.62</v>
      </c>
      <c r="L161">
        <v>86641</v>
      </c>
      <c r="N161">
        <v>0</v>
      </c>
      <c r="O161">
        <v>78764.62</v>
      </c>
      <c r="P161">
        <v>86641</v>
      </c>
      <c r="Y161" s="6" t="s">
        <v>315</v>
      </c>
      <c r="Z161">
        <v>53087.93</v>
      </c>
      <c r="AA161">
        <v>53087.93</v>
      </c>
      <c r="AB161">
        <v>1</v>
      </c>
      <c r="AD161" s="7" t="s">
        <v>198</v>
      </c>
      <c r="AE161">
        <v>68436.149999999994</v>
      </c>
      <c r="AF161">
        <v>50.51</v>
      </c>
      <c r="AH161" s="6" t="s">
        <v>53</v>
      </c>
    </row>
    <row r="162" spans="10:35" x14ac:dyDescent="0.25">
      <c r="J162" s="7" t="s">
        <v>58</v>
      </c>
      <c r="K162">
        <v>46271.88</v>
      </c>
      <c r="L162">
        <v>50899</v>
      </c>
      <c r="N162">
        <v>0</v>
      </c>
      <c r="O162">
        <v>46271.88</v>
      </c>
      <c r="P162">
        <v>50899</v>
      </c>
      <c r="Y162" s="6" t="s">
        <v>43</v>
      </c>
      <c r="Z162">
        <v>78029.36</v>
      </c>
      <c r="AA162">
        <v>78029.36</v>
      </c>
      <c r="AB162">
        <v>1</v>
      </c>
      <c r="AD162" s="7" t="s">
        <v>68</v>
      </c>
      <c r="AE162">
        <v>56117.91</v>
      </c>
      <c r="AF162">
        <v>57.4</v>
      </c>
      <c r="AH162" s="7" t="s">
        <v>57</v>
      </c>
      <c r="AI162">
        <v>42659.75</v>
      </c>
    </row>
    <row r="163" spans="10:35" x14ac:dyDescent="0.25">
      <c r="J163" s="7" t="s">
        <v>85</v>
      </c>
      <c r="L163">
        <v>0</v>
      </c>
      <c r="M163">
        <v>74933.490000000005</v>
      </c>
      <c r="N163">
        <v>82427</v>
      </c>
      <c r="O163">
        <v>74933.490000000005</v>
      </c>
      <c r="P163">
        <v>82427</v>
      </c>
      <c r="Y163" s="6" t="s">
        <v>596</v>
      </c>
      <c r="Z163">
        <v>21572.26</v>
      </c>
      <c r="AA163">
        <v>21572.26</v>
      </c>
      <c r="AB163">
        <v>1</v>
      </c>
      <c r="AD163" s="7" t="s">
        <v>6</v>
      </c>
      <c r="AE163">
        <v>3619.93</v>
      </c>
      <c r="AF163">
        <v>56.37</v>
      </c>
      <c r="AH163" s="7" t="s">
        <v>77</v>
      </c>
      <c r="AI163">
        <v>40060.519999999997</v>
      </c>
    </row>
    <row r="164" spans="10:35" x14ac:dyDescent="0.25">
      <c r="J164" s="7" t="s">
        <v>10</v>
      </c>
      <c r="K164">
        <v>66175.759999999995</v>
      </c>
      <c r="L164">
        <v>72793</v>
      </c>
      <c r="N164">
        <v>0</v>
      </c>
      <c r="O164">
        <v>66175.759999999995</v>
      </c>
      <c r="P164">
        <v>72793</v>
      </c>
      <c r="Y164" s="6" t="s">
        <v>717</v>
      </c>
      <c r="Z164">
        <v>7297.22</v>
      </c>
      <c r="AA164">
        <v>7297.22</v>
      </c>
      <c r="AB164">
        <v>1</v>
      </c>
      <c r="AD164" s="7" t="s">
        <v>45</v>
      </c>
      <c r="AE164">
        <v>36306.9</v>
      </c>
      <c r="AF164">
        <v>49.25</v>
      </c>
      <c r="AH164" s="7" t="s">
        <v>70</v>
      </c>
      <c r="AI164">
        <v>89704.3</v>
      </c>
    </row>
    <row r="165" spans="10:35" x14ac:dyDescent="0.25">
      <c r="J165" s="7" t="s">
        <v>621</v>
      </c>
      <c r="K165">
        <v>79253.179999999993</v>
      </c>
      <c r="L165">
        <v>87178</v>
      </c>
      <c r="N165">
        <v>0</v>
      </c>
      <c r="O165">
        <v>79253.179999999993</v>
      </c>
      <c r="P165">
        <v>87178</v>
      </c>
      <c r="Y165" s="6" t="s">
        <v>462</v>
      </c>
      <c r="Z165">
        <v>138023.07</v>
      </c>
      <c r="AA165">
        <v>46007.69</v>
      </c>
      <c r="AB165">
        <v>3</v>
      </c>
      <c r="AD165" s="7" t="s">
        <v>218</v>
      </c>
      <c r="AE165">
        <v>58974.98</v>
      </c>
      <c r="AF165">
        <v>88.75</v>
      </c>
      <c r="AH165" s="7" t="s">
        <v>243</v>
      </c>
      <c r="AI165">
        <v>23177.439999999999</v>
      </c>
    </row>
    <row r="166" spans="10:35" x14ac:dyDescent="0.25">
      <c r="J166" s="7" t="s">
        <v>596</v>
      </c>
      <c r="L166">
        <v>0</v>
      </c>
      <c r="M166">
        <v>21572.26</v>
      </c>
      <c r="N166">
        <v>23729</v>
      </c>
      <c r="O166">
        <v>21572.26</v>
      </c>
      <c r="P166">
        <v>23729</v>
      </c>
      <c r="Y166" s="6" t="s">
        <v>26</v>
      </c>
      <c r="Z166">
        <v>5751.15</v>
      </c>
      <c r="AA166">
        <v>5751.15</v>
      </c>
      <c r="AB166">
        <v>1</v>
      </c>
      <c r="AD166" s="7" t="s">
        <v>444</v>
      </c>
      <c r="AE166">
        <v>21539.16</v>
      </c>
      <c r="AF166">
        <v>58.12</v>
      </c>
      <c r="AH166" s="7" t="s">
        <v>11</v>
      </c>
      <c r="AI166">
        <v>60972.66</v>
      </c>
    </row>
    <row r="167" spans="10:35" x14ac:dyDescent="0.25">
      <c r="J167" s="6" t="s">
        <v>15</v>
      </c>
      <c r="K167">
        <v>113963.97</v>
      </c>
      <c r="L167">
        <v>125360</v>
      </c>
      <c r="M167">
        <v>186875.66999999998</v>
      </c>
      <c r="N167">
        <v>205563</v>
      </c>
      <c r="O167">
        <v>300839.64</v>
      </c>
      <c r="P167">
        <v>330924</v>
      </c>
      <c r="Y167" s="6" t="s">
        <v>343</v>
      </c>
      <c r="Z167">
        <v>43316.480000000003</v>
      </c>
      <c r="AA167">
        <v>43316.480000000003</v>
      </c>
      <c r="AB167">
        <v>1</v>
      </c>
      <c r="AD167" s="7" t="s">
        <v>67</v>
      </c>
      <c r="AE167">
        <v>19359.05</v>
      </c>
      <c r="AF167">
        <v>8.84</v>
      </c>
      <c r="AH167" s="7" t="s">
        <v>466</v>
      </c>
      <c r="AI167">
        <v>87614.3</v>
      </c>
    </row>
    <row r="168" spans="10:35" x14ac:dyDescent="0.25">
      <c r="J168" s="7" t="s">
        <v>198</v>
      </c>
      <c r="L168">
        <v>0</v>
      </c>
      <c r="M168">
        <v>68436.149999999994</v>
      </c>
      <c r="N168">
        <v>75280</v>
      </c>
      <c r="O168">
        <v>68436.149999999994</v>
      </c>
      <c r="P168">
        <v>75280</v>
      </c>
      <c r="Y168" s="6" t="s">
        <v>854</v>
      </c>
      <c r="Z168">
        <v>8996331.089999998</v>
      </c>
      <c r="AA168">
        <v>44981.655449999991</v>
      </c>
      <c r="AB168">
        <v>200</v>
      </c>
      <c r="AD168" s="7" t="s">
        <v>251</v>
      </c>
      <c r="AE168">
        <v>36485.56</v>
      </c>
      <c r="AF168">
        <v>22.16</v>
      </c>
      <c r="AH168" s="7" t="s">
        <v>255</v>
      </c>
      <c r="AI168">
        <v>54071.839999999997</v>
      </c>
    </row>
    <row r="169" spans="10:35" x14ac:dyDescent="0.25">
      <c r="J169" s="7" t="s">
        <v>68</v>
      </c>
      <c r="K169">
        <v>56117.91</v>
      </c>
      <c r="L169">
        <v>61730</v>
      </c>
      <c r="N169">
        <v>0</v>
      </c>
      <c r="O169">
        <v>56117.91</v>
      </c>
      <c r="P169">
        <v>61730</v>
      </c>
      <c r="AD169" s="6" t="s">
        <v>3</v>
      </c>
      <c r="AH169" s="7" t="s">
        <v>691</v>
      </c>
      <c r="AI169">
        <v>67620.27</v>
      </c>
    </row>
    <row r="170" spans="10:35" x14ac:dyDescent="0.25">
      <c r="J170" s="7" t="s">
        <v>6</v>
      </c>
      <c r="L170">
        <v>0</v>
      </c>
      <c r="M170">
        <v>3619.93</v>
      </c>
      <c r="N170">
        <v>3982</v>
      </c>
      <c r="O170">
        <v>3619.93</v>
      </c>
      <c r="P170">
        <v>3982</v>
      </c>
      <c r="AD170" s="7" t="s">
        <v>68</v>
      </c>
      <c r="AE170">
        <v>4254.01</v>
      </c>
      <c r="AF170">
        <v>42.5</v>
      </c>
      <c r="AH170" s="6" t="s">
        <v>919</v>
      </c>
      <c r="AI170">
        <v>465881.08000000007</v>
      </c>
    </row>
    <row r="171" spans="10:35" x14ac:dyDescent="0.25">
      <c r="J171" s="7" t="s">
        <v>45</v>
      </c>
      <c r="K171">
        <v>36306.9</v>
      </c>
      <c r="L171">
        <v>39938</v>
      </c>
      <c r="N171">
        <v>0</v>
      </c>
      <c r="O171">
        <v>36306.9</v>
      </c>
      <c r="P171">
        <v>39938</v>
      </c>
      <c r="AD171" s="7" t="s">
        <v>307</v>
      </c>
      <c r="AE171">
        <v>47311.15</v>
      </c>
      <c r="AF171">
        <v>4.13</v>
      </c>
      <c r="AH171" s="6" t="s">
        <v>920</v>
      </c>
      <c r="AI171">
        <v>8</v>
      </c>
    </row>
    <row r="172" spans="10:35" x14ac:dyDescent="0.25">
      <c r="J172" s="7" t="s">
        <v>218</v>
      </c>
      <c r="L172">
        <v>0</v>
      </c>
      <c r="M172">
        <v>58974.98</v>
      </c>
      <c r="N172">
        <v>64872</v>
      </c>
      <c r="O172">
        <v>58974.98</v>
      </c>
      <c r="P172">
        <v>64872</v>
      </c>
      <c r="AD172" s="7" t="s">
        <v>694</v>
      </c>
      <c r="AE172">
        <v>42845.9</v>
      </c>
      <c r="AF172">
        <v>97.2</v>
      </c>
      <c r="AH172" s="6" t="s">
        <v>921</v>
      </c>
      <c r="AI172">
        <v>58235.135000000009</v>
      </c>
    </row>
    <row r="173" spans="10:35" x14ac:dyDescent="0.25">
      <c r="J173" s="7" t="s">
        <v>444</v>
      </c>
      <c r="K173">
        <v>21539.16</v>
      </c>
      <c r="L173">
        <v>23693</v>
      </c>
      <c r="N173">
        <v>0</v>
      </c>
      <c r="O173">
        <v>21539.16</v>
      </c>
      <c r="P173">
        <v>23693</v>
      </c>
      <c r="AD173" s="7" t="s">
        <v>91</v>
      </c>
      <c r="AE173">
        <v>48316.49</v>
      </c>
      <c r="AF173">
        <v>99.87</v>
      </c>
      <c r="AH173" s="6" t="s">
        <v>920</v>
      </c>
      <c r="AI173">
        <v>8</v>
      </c>
    </row>
    <row r="174" spans="10:35" x14ac:dyDescent="0.25">
      <c r="J174" s="7" t="s">
        <v>67</v>
      </c>
      <c r="L174">
        <v>0</v>
      </c>
      <c r="M174">
        <v>19359.05</v>
      </c>
      <c r="N174">
        <v>21295</v>
      </c>
      <c r="O174">
        <v>19359.05</v>
      </c>
      <c r="P174">
        <v>21295</v>
      </c>
      <c r="AD174" s="7" t="s">
        <v>26</v>
      </c>
      <c r="AE174">
        <v>5751.15</v>
      </c>
      <c r="AF174">
        <v>79.25</v>
      </c>
      <c r="AH174" s="6" t="s">
        <v>14</v>
      </c>
    </row>
    <row r="175" spans="10:35" x14ac:dyDescent="0.25">
      <c r="J175" s="7" t="s">
        <v>251</v>
      </c>
      <c r="L175">
        <v>0</v>
      </c>
      <c r="M175">
        <v>36485.56</v>
      </c>
      <c r="N175">
        <v>40134</v>
      </c>
      <c r="O175">
        <v>36485.56</v>
      </c>
      <c r="P175">
        <v>40134</v>
      </c>
      <c r="AD175" s="6" t="s">
        <v>32</v>
      </c>
      <c r="AH175" s="7" t="s">
        <v>63</v>
      </c>
      <c r="AI175">
        <v>14941.36</v>
      </c>
    </row>
    <row r="176" spans="10:35" x14ac:dyDescent="0.25">
      <c r="J176" s="6" t="s">
        <v>3</v>
      </c>
      <c r="K176">
        <v>105632.79999999999</v>
      </c>
      <c r="L176">
        <v>116196</v>
      </c>
      <c r="M176">
        <v>42845.9</v>
      </c>
      <c r="N176">
        <v>47130</v>
      </c>
      <c r="O176">
        <v>148478.69999999998</v>
      </c>
      <c r="P176">
        <v>163327</v>
      </c>
      <c r="AD176" s="7" t="s">
        <v>31</v>
      </c>
      <c r="AE176">
        <v>27932.68</v>
      </c>
      <c r="AF176">
        <v>25.9</v>
      </c>
      <c r="AH176" s="6" t="s">
        <v>922</v>
      </c>
      <c r="AI176">
        <v>14941.36</v>
      </c>
    </row>
    <row r="177" spans="10:35" x14ac:dyDescent="0.25">
      <c r="J177" s="7" t="s">
        <v>68</v>
      </c>
      <c r="K177">
        <v>4254.01</v>
      </c>
      <c r="L177">
        <v>4679</v>
      </c>
      <c r="N177">
        <v>0</v>
      </c>
      <c r="O177">
        <v>4254.01</v>
      </c>
      <c r="P177">
        <v>4679</v>
      </c>
      <c r="AD177" s="7" t="s">
        <v>225</v>
      </c>
      <c r="AE177">
        <v>76370.97</v>
      </c>
      <c r="AF177">
        <v>69.06</v>
      </c>
      <c r="AH177" s="6" t="s">
        <v>923</v>
      </c>
      <c r="AI177">
        <v>1</v>
      </c>
    </row>
    <row r="178" spans="10:35" x14ac:dyDescent="0.25">
      <c r="J178" s="7" t="s">
        <v>307</v>
      </c>
      <c r="K178">
        <v>47311.15</v>
      </c>
      <c r="L178">
        <v>52042</v>
      </c>
      <c r="N178">
        <v>0</v>
      </c>
      <c r="O178">
        <v>47311.15</v>
      </c>
      <c r="P178">
        <v>52042</v>
      </c>
      <c r="AD178" s="7" t="s">
        <v>132</v>
      </c>
      <c r="AE178">
        <v>58282.41</v>
      </c>
      <c r="AF178">
        <v>9.1</v>
      </c>
      <c r="AH178" s="6" t="s">
        <v>924</v>
      </c>
      <c r="AI178">
        <v>14941.36</v>
      </c>
    </row>
    <row r="179" spans="10:35" x14ac:dyDescent="0.25">
      <c r="J179" s="7" t="s">
        <v>694</v>
      </c>
      <c r="L179">
        <v>0</v>
      </c>
      <c r="M179">
        <v>42845.9</v>
      </c>
      <c r="N179">
        <v>47130</v>
      </c>
      <c r="O179">
        <v>42845.9</v>
      </c>
      <c r="P179">
        <v>47130</v>
      </c>
      <c r="AD179" s="7" t="s">
        <v>255</v>
      </c>
      <c r="AE179">
        <v>24892.78</v>
      </c>
      <c r="AF179">
        <v>92.18</v>
      </c>
      <c r="AH179" s="6" t="s">
        <v>923</v>
      </c>
      <c r="AI179">
        <v>1</v>
      </c>
    </row>
    <row r="180" spans="10:35" x14ac:dyDescent="0.25">
      <c r="J180" s="7" t="s">
        <v>91</v>
      </c>
      <c r="K180">
        <v>48316.49</v>
      </c>
      <c r="L180">
        <v>53148</v>
      </c>
      <c r="N180">
        <v>0</v>
      </c>
      <c r="O180">
        <v>48316.49</v>
      </c>
      <c r="P180">
        <v>53148</v>
      </c>
      <c r="AD180" s="7" t="s">
        <v>269</v>
      </c>
      <c r="AE180">
        <v>10271.66</v>
      </c>
      <c r="AF180">
        <v>82.02</v>
      </c>
      <c r="AH180" s="6" t="s">
        <v>42</v>
      </c>
    </row>
    <row r="181" spans="10:35" x14ac:dyDescent="0.25">
      <c r="J181" s="7" t="s">
        <v>26</v>
      </c>
      <c r="K181">
        <v>5751.15</v>
      </c>
      <c r="L181">
        <v>6326</v>
      </c>
      <c r="N181">
        <v>0</v>
      </c>
      <c r="O181">
        <v>5751.15</v>
      </c>
      <c r="P181">
        <v>6326</v>
      </c>
      <c r="AD181" s="7" t="s">
        <v>145</v>
      </c>
      <c r="AE181">
        <v>45015.519999999997</v>
      </c>
      <c r="AF181">
        <v>24.37</v>
      </c>
      <c r="AH181" s="7" t="s">
        <v>115</v>
      </c>
      <c r="AI181">
        <v>54406.29</v>
      </c>
    </row>
    <row r="182" spans="10:35" x14ac:dyDescent="0.25">
      <c r="J182" s="6" t="s">
        <v>32</v>
      </c>
      <c r="K182">
        <v>55287.179999999993</v>
      </c>
      <c r="L182">
        <v>60816</v>
      </c>
      <c r="M182">
        <v>187478.84</v>
      </c>
      <c r="N182">
        <v>206227</v>
      </c>
      <c r="O182">
        <v>242766.02</v>
      </c>
      <c r="P182">
        <v>267043</v>
      </c>
      <c r="AD182" s="6" t="s">
        <v>28</v>
      </c>
      <c r="AH182" s="7" t="s">
        <v>558</v>
      </c>
      <c r="AI182">
        <v>38046.22</v>
      </c>
    </row>
    <row r="183" spans="10:35" x14ac:dyDescent="0.25">
      <c r="J183" s="7" t="s">
        <v>31</v>
      </c>
      <c r="L183">
        <v>0</v>
      </c>
      <c r="M183">
        <v>27932.68</v>
      </c>
      <c r="N183">
        <v>30726</v>
      </c>
      <c r="O183">
        <v>27932.68</v>
      </c>
      <c r="P183">
        <v>30726</v>
      </c>
      <c r="AD183" s="7" t="s">
        <v>167</v>
      </c>
      <c r="AE183">
        <v>22188.53</v>
      </c>
      <c r="AF183">
        <v>63.92</v>
      </c>
      <c r="AH183" s="7" t="s">
        <v>743</v>
      </c>
      <c r="AI183">
        <v>13242.66</v>
      </c>
    </row>
    <row r="184" spans="10:35" x14ac:dyDescent="0.25">
      <c r="J184" s="7" t="s">
        <v>225</v>
      </c>
      <c r="L184">
        <v>0</v>
      </c>
      <c r="M184">
        <v>76370.97</v>
      </c>
      <c r="N184">
        <v>84008</v>
      </c>
      <c r="O184">
        <v>76370.97</v>
      </c>
      <c r="P184">
        <v>84008</v>
      </c>
      <c r="AD184" s="7" t="s">
        <v>607</v>
      </c>
      <c r="AE184">
        <v>83001.91</v>
      </c>
      <c r="AF184">
        <v>97.11</v>
      </c>
      <c r="AH184" s="7" t="s">
        <v>462</v>
      </c>
      <c r="AI184">
        <v>62371.5</v>
      </c>
    </row>
    <row r="185" spans="10:35" x14ac:dyDescent="0.25">
      <c r="J185" s="7" t="s">
        <v>132</v>
      </c>
      <c r="L185">
        <v>0</v>
      </c>
      <c r="M185">
        <v>58282.41</v>
      </c>
      <c r="N185">
        <v>64111</v>
      </c>
      <c r="O185">
        <v>58282.41</v>
      </c>
      <c r="P185">
        <v>64111</v>
      </c>
      <c r="AD185" s="7" t="s">
        <v>528</v>
      </c>
      <c r="AE185">
        <v>978.01</v>
      </c>
      <c r="AF185">
        <v>80.349999999999994</v>
      </c>
      <c r="AH185" s="6" t="s">
        <v>925</v>
      </c>
      <c r="AI185">
        <v>168066.67</v>
      </c>
    </row>
    <row r="186" spans="10:35" x14ac:dyDescent="0.25">
      <c r="J186" s="7" t="s">
        <v>255</v>
      </c>
      <c r="L186">
        <v>0</v>
      </c>
      <c r="M186">
        <v>24892.78</v>
      </c>
      <c r="N186">
        <v>27382</v>
      </c>
      <c r="O186">
        <v>24892.78</v>
      </c>
      <c r="P186">
        <v>27382</v>
      </c>
      <c r="AD186" s="7" t="s">
        <v>507</v>
      </c>
      <c r="AE186">
        <v>78772.259999999995</v>
      </c>
      <c r="AF186">
        <v>35.76</v>
      </c>
      <c r="AH186" s="6" t="s">
        <v>926</v>
      </c>
      <c r="AI186">
        <v>4</v>
      </c>
    </row>
    <row r="187" spans="10:35" x14ac:dyDescent="0.25">
      <c r="J187" s="7" t="s">
        <v>269</v>
      </c>
      <c r="K187">
        <v>10271.66</v>
      </c>
      <c r="L187">
        <v>11299</v>
      </c>
      <c r="N187">
        <v>0</v>
      </c>
      <c r="O187">
        <v>10271.66</v>
      </c>
      <c r="P187">
        <v>11299</v>
      </c>
      <c r="AD187" s="7" t="s">
        <v>475</v>
      </c>
      <c r="AE187">
        <v>78228.34</v>
      </c>
      <c r="AF187">
        <v>41.47</v>
      </c>
      <c r="AH187" s="6" t="s">
        <v>927</v>
      </c>
      <c r="AI187">
        <v>42016.667500000003</v>
      </c>
    </row>
    <row r="188" spans="10:35" x14ac:dyDescent="0.25">
      <c r="J188" s="7" t="s">
        <v>145</v>
      </c>
      <c r="K188">
        <v>45015.519999999997</v>
      </c>
      <c r="L188">
        <v>49517</v>
      </c>
      <c r="N188">
        <v>0</v>
      </c>
      <c r="O188">
        <v>45015.519999999997</v>
      </c>
      <c r="P188">
        <v>49517</v>
      </c>
      <c r="AD188" s="7" t="s">
        <v>106</v>
      </c>
      <c r="AE188">
        <v>20126.98</v>
      </c>
      <c r="AF188">
        <v>27.35</v>
      </c>
      <c r="AH188" s="6" t="s">
        <v>926</v>
      </c>
      <c r="AI188">
        <v>4</v>
      </c>
    </row>
    <row r="189" spans="10:35" x14ac:dyDescent="0.25">
      <c r="J189" s="6" t="s">
        <v>28</v>
      </c>
      <c r="K189">
        <v>263169.05</v>
      </c>
      <c r="L189">
        <v>289486</v>
      </c>
      <c r="M189">
        <v>155300.47</v>
      </c>
      <c r="N189">
        <v>170831</v>
      </c>
      <c r="O189">
        <v>418469.51999999996</v>
      </c>
      <c r="P189">
        <v>460316</v>
      </c>
      <c r="AD189" s="7" t="s">
        <v>635</v>
      </c>
      <c r="AE189">
        <v>11115.72</v>
      </c>
      <c r="AF189">
        <v>29.21</v>
      </c>
      <c r="AH189" s="6" t="s">
        <v>2</v>
      </c>
    </row>
    <row r="190" spans="10:35" x14ac:dyDescent="0.25">
      <c r="J190" s="7" t="s">
        <v>167</v>
      </c>
      <c r="K190">
        <v>22188.53</v>
      </c>
      <c r="L190">
        <v>24407</v>
      </c>
      <c r="N190">
        <v>0</v>
      </c>
      <c r="O190">
        <v>22188.53</v>
      </c>
      <c r="P190">
        <v>24407</v>
      </c>
      <c r="AD190" s="7" t="s">
        <v>777</v>
      </c>
      <c r="AE190">
        <v>37103.4</v>
      </c>
      <c r="AF190">
        <v>92.84</v>
      </c>
      <c r="AH190" s="7" t="s">
        <v>754</v>
      </c>
      <c r="AI190">
        <v>81192.95</v>
      </c>
    </row>
    <row r="191" spans="10:35" x14ac:dyDescent="0.25">
      <c r="J191" s="7" t="s">
        <v>607</v>
      </c>
      <c r="K191">
        <v>83001.91</v>
      </c>
      <c r="L191">
        <v>91302</v>
      </c>
      <c r="N191">
        <v>0</v>
      </c>
      <c r="O191">
        <v>83001.91</v>
      </c>
      <c r="P191">
        <v>91302</v>
      </c>
      <c r="AD191" s="7" t="s">
        <v>518</v>
      </c>
      <c r="AE191">
        <v>86954.37</v>
      </c>
      <c r="AF191">
        <v>32.590000000000003</v>
      </c>
      <c r="AH191" s="7" t="s">
        <v>405</v>
      </c>
      <c r="AI191">
        <v>13893.18</v>
      </c>
    </row>
    <row r="192" spans="10:35" x14ac:dyDescent="0.25">
      <c r="J192" s="7" t="s">
        <v>528</v>
      </c>
      <c r="K192">
        <v>978.01</v>
      </c>
      <c r="L192">
        <v>1076</v>
      </c>
      <c r="N192">
        <v>0</v>
      </c>
      <c r="O192">
        <v>978.01</v>
      </c>
      <c r="P192">
        <v>1076</v>
      </c>
      <c r="AD192" s="6" t="s">
        <v>33</v>
      </c>
      <c r="AH192" s="7" t="s">
        <v>8</v>
      </c>
      <c r="AI192">
        <v>73677.600000000006</v>
      </c>
    </row>
    <row r="193" spans="10:35" x14ac:dyDescent="0.25">
      <c r="J193" s="7" t="s">
        <v>507</v>
      </c>
      <c r="K193">
        <v>78772.259999999995</v>
      </c>
      <c r="L193">
        <v>86649</v>
      </c>
      <c r="N193">
        <v>0</v>
      </c>
      <c r="O193">
        <v>78772.259999999995</v>
      </c>
      <c r="P193">
        <v>86649</v>
      </c>
      <c r="AD193" s="7" t="s">
        <v>768</v>
      </c>
      <c r="AE193">
        <v>50924.3</v>
      </c>
      <c r="AF193">
        <v>35.61</v>
      </c>
      <c r="AH193" s="7" t="s">
        <v>383</v>
      </c>
      <c r="AI193">
        <v>82849.77</v>
      </c>
    </row>
    <row r="194" spans="10:35" x14ac:dyDescent="0.25">
      <c r="J194" s="7" t="s">
        <v>475</v>
      </c>
      <c r="K194">
        <v>78228.34</v>
      </c>
      <c r="L194">
        <v>86051</v>
      </c>
      <c r="N194">
        <v>0</v>
      </c>
      <c r="O194">
        <v>78228.34</v>
      </c>
      <c r="P194">
        <v>86051</v>
      </c>
      <c r="AD194" s="7" t="s">
        <v>493</v>
      </c>
      <c r="AE194">
        <v>54746.71</v>
      </c>
      <c r="AF194">
        <v>26.25</v>
      </c>
      <c r="AH194" s="7" t="s">
        <v>21</v>
      </c>
      <c r="AI194">
        <v>6222.75</v>
      </c>
    </row>
    <row r="195" spans="10:35" x14ac:dyDescent="0.25">
      <c r="J195" s="7" t="s">
        <v>106</v>
      </c>
      <c r="L195">
        <v>0</v>
      </c>
      <c r="M195">
        <v>20126.98</v>
      </c>
      <c r="N195">
        <v>22140</v>
      </c>
      <c r="O195">
        <v>20126.98</v>
      </c>
      <c r="P195">
        <v>22140</v>
      </c>
      <c r="AD195" s="7" t="s">
        <v>379</v>
      </c>
      <c r="AE195">
        <v>84391</v>
      </c>
      <c r="AF195">
        <v>43.9</v>
      </c>
      <c r="AH195" s="6" t="s">
        <v>928</v>
      </c>
      <c r="AI195">
        <v>257836.25</v>
      </c>
    </row>
    <row r="196" spans="10:35" x14ac:dyDescent="0.25">
      <c r="J196" s="7" t="s">
        <v>635</v>
      </c>
      <c r="L196">
        <v>0</v>
      </c>
      <c r="M196">
        <v>11115.72</v>
      </c>
      <c r="N196">
        <v>12227</v>
      </c>
      <c r="O196">
        <v>11115.72</v>
      </c>
      <c r="P196">
        <v>12227</v>
      </c>
      <c r="AD196" s="7" t="s">
        <v>433</v>
      </c>
      <c r="AE196">
        <v>10628.5</v>
      </c>
      <c r="AF196">
        <v>22.94</v>
      </c>
      <c r="AH196" s="6" t="s">
        <v>929</v>
      </c>
      <c r="AI196">
        <v>5</v>
      </c>
    </row>
    <row r="197" spans="10:35" x14ac:dyDescent="0.25">
      <c r="J197" s="7" t="s">
        <v>777</v>
      </c>
      <c r="L197">
        <v>0</v>
      </c>
      <c r="M197">
        <v>37103.4</v>
      </c>
      <c r="N197">
        <v>40814</v>
      </c>
      <c r="O197">
        <v>37103.4</v>
      </c>
      <c r="P197">
        <v>40814</v>
      </c>
      <c r="AD197" s="7" t="s">
        <v>154</v>
      </c>
      <c r="AE197">
        <v>36714.550000000003</v>
      </c>
      <c r="AF197">
        <v>23.48</v>
      </c>
      <c r="AH197" s="6" t="s">
        <v>930</v>
      </c>
      <c r="AI197">
        <v>51567.25</v>
      </c>
    </row>
    <row r="198" spans="10:35" x14ac:dyDescent="0.25">
      <c r="J198" s="7" t="s">
        <v>518</v>
      </c>
      <c r="L198">
        <v>0</v>
      </c>
      <c r="M198">
        <v>86954.37</v>
      </c>
      <c r="N198">
        <v>95650</v>
      </c>
      <c r="O198">
        <v>86954.37</v>
      </c>
      <c r="P198">
        <v>95650</v>
      </c>
      <c r="AD198" s="7" t="s">
        <v>635</v>
      </c>
      <c r="AE198">
        <v>23840.38</v>
      </c>
      <c r="AF198">
        <v>35.36</v>
      </c>
      <c r="AH198" s="6" t="s">
        <v>929</v>
      </c>
      <c r="AI198">
        <v>5</v>
      </c>
    </row>
    <row r="199" spans="10:35" x14ac:dyDescent="0.25">
      <c r="J199" s="6" t="s">
        <v>33</v>
      </c>
      <c r="K199">
        <v>215392.47999999998</v>
      </c>
      <c r="L199">
        <v>236932</v>
      </c>
      <c r="M199">
        <v>153014.06</v>
      </c>
      <c r="N199">
        <v>168315</v>
      </c>
      <c r="O199">
        <v>368406.54</v>
      </c>
      <c r="P199">
        <v>405247</v>
      </c>
      <c r="AD199" s="7" t="s">
        <v>387</v>
      </c>
      <c r="AE199">
        <v>48371.360000000001</v>
      </c>
      <c r="AF199">
        <v>0.16</v>
      </c>
      <c r="AH199" s="6" t="s">
        <v>16</v>
      </c>
    </row>
    <row r="200" spans="10:35" x14ac:dyDescent="0.25">
      <c r="J200" s="7" t="s">
        <v>768</v>
      </c>
      <c r="L200">
        <v>0</v>
      </c>
      <c r="M200">
        <v>50924.3</v>
      </c>
      <c r="N200">
        <v>56017</v>
      </c>
      <c r="O200">
        <v>50924.3</v>
      </c>
      <c r="P200">
        <v>56017</v>
      </c>
      <c r="AD200" s="7" t="s">
        <v>462</v>
      </c>
      <c r="AE200">
        <v>58789.74</v>
      </c>
      <c r="AF200">
        <v>28.03</v>
      </c>
      <c r="AH200" s="7" t="s">
        <v>617</v>
      </c>
      <c r="AI200">
        <v>32905.53</v>
      </c>
    </row>
    <row r="201" spans="10:35" x14ac:dyDescent="0.25">
      <c r="J201" s="7" t="s">
        <v>493</v>
      </c>
      <c r="L201">
        <v>0</v>
      </c>
      <c r="M201">
        <v>54746.71</v>
      </c>
      <c r="N201">
        <v>60221</v>
      </c>
      <c r="O201">
        <v>54746.71</v>
      </c>
      <c r="P201">
        <v>60221</v>
      </c>
      <c r="AD201" s="6" t="s">
        <v>64</v>
      </c>
      <c r="AH201" s="7" t="s">
        <v>60</v>
      </c>
      <c r="AI201">
        <v>29270.35</v>
      </c>
    </row>
    <row r="202" spans="10:35" x14ac:dyDescent="0.25">
      <c r="J202" s="7" t="s">
        <v>379</v>
      </c>
      <c r="K202">
        <v>84391</v>
      </c>
      <c r="L202">
        <v>92830</v>
      </c>
      <c r="N202">
        <v>0</v>
      </c>
      <c r="O202">
        <v>84391</v>
      </c>
      <c r="P202">
        <v>92830</v>
      </c>
      <c r="AD202" s="7" t="s">
        <v>46</v>
      </c>
      <c r="AE202">
        <v>718.49</v>
      </c>
      <c r="AF202">
        <v>3.59</v>
      </c>
      <c r="AH202" s="7" t="s">
        <v>551</v>
      </c>
      <c r="AI202">
        <v>80223.039999999994</v>
      </c>
    </row>
    <row r="203" spans="10:35" x14ac:dyDescent="0.25">
      <c r="J203" s="7" t="s">
        <v>433</v>
      </c>
      <c r="L203">
        <v>0</v>
      </c>
      <c r="M203">
        <v>10628.5</v>
      </c>
      <c r="N203">
        <v>11691</v>
      </c>
      <c r="O203">
        <v>10628.5</v>
      </c>
      <c r="P203">
        <v>11691</v>
      </c>
      <c r="AD203" s="7" t="s">
        <v>307</v>
      </c>
      <c r="AE203">
        <v>25079.8</v>
      </c>
      <c r="AF203">
        <v>8.19</v>
      </c>
      <c r="AH203" s="7" t="s">
        <v>676</v>
      </c>
      <c r="AI203">
        <v>29801.53</v>
      </c>
    </row>
    <row r="204" spans="10:35" x14ac:dyDescent="0.25">
      <c r="J204" s="7" t="s">
        <v>154</v>
      </c>
      <c r="L204">
        <v>0</v>
      </c>
      <c r="M204">
        <v>36714.550000000003</v>
      </c>
      <c r="N204">
        <v>40386</v>
      </c>
      <c r="O204">
        <v>36714.550000000003</v>
      </c>
      <c r="P204">
        <v>40386</v>
      </c>
      <c r="AD204" s="7" t="s">
        <v>614</v>
      </c>
      <c r="AE204">
        <v>79331.37</v>
      </c>
      <c r="AF204">
        <v>30.06</v>
      </c>
      <c r="AH204" s="7" t="s">
        <v>52</v>
      </c>
      <c r="AI204">
        <v>6435.32</v>
      </c>
    </row>
    <row r="205" spans="10:35" x14ac:dyDescent="0.25">
      <c r="J205" s="7" t="s">
        <v>635</v>
      </c>
      <c r="K205">
        <v>23840.38</v>
      </c>
      <c r="L205">
        <v>26224</v>
      </c>
      <c r="N205">
        <v>0</v>
      </c>
      <c r="O205">
        <v>23840.38</v>
      </c>
      <c r="P205">
        <v>26224</v>
      </c>
      <c r="AD205" s="7" t="s">
        <v>311</v>
      </c>
      <c r="AE205">
        <v>6333.53</v>
      </c>
      <c r="AF205">
        <v>12.92</v>
      </c>
      <c r="AH205" s="6" t="s">
        <v>931</v>
      </c>
      <c r="AI205">
        <v>178635.77</v>
      </c>
    </row>
    <row r="206" spans="10:35" x14ac:dyDescent="0.25">
      <c r="J206" s="7" t="s">
        <v>387</v>
      </c>
      <c r="K206">
        <v>48371.360000000001</v>
      </c>
      <c r="L206">
        <v>53208</v>
      </c>
      <c r="N206">
        <v>0</v>
      </c>
      <c r="O206">
        <v>48371.360000000001</v>
      </c>
      <c r="P206">
        <v>53208</v>
      </c>
      <c r="AD206" s="7" t="s">
        <v>132</v>
      </c>
      <c r="AE206">
        <v>58381.49</v>
      </c>
      <c r="AF206">
        <v>5.63</v>
      </c>
      <c r="AH206" s="6" t="s">
        <v>932</v>
      </c>
      <c r="AI206">
        <v>5</v>
      </c>
    </row>
    <row r="207" spans="10:35" x14ac:dyDescent="0.25">
      <c r="J207" s="7" t="s">
        <v>462</v>
      </c>
      <c r="K207">
        <v>58789.74</v>
      </c>
      <c r="L207">
        <v>64669</v>
      </c>
      <c r="N207">
        <v>0</v>
      </c>
      <c r="O207">
        <v>58789.74</v>
      </c>
      <c r="P207">
        <v>64669</v>
      </c>
      <c r="AD207" s="7" t="s">
        <v>255</v>
      </c>
      <c r="AE207">
        <v>35618.050000000003</v>
      </c>
      <c r="AF207">
        <v>37.49</v>
      </c>
      <c r="AH207" s="6" t="s">
        <v>933</v>
      </c>
      <c r="AI207">
        <v>35727.153999999995</v>
      </c>
    </row>
    <row r="208" spans="10:35" x14ac:dyDescent="0.25">
      <c r="J208" s="6" t="s">
        <v>64</v>
      </c>
      <c r="K208">
        <v>119079.34</v>
      </c>
      <c r="L208">
        <v>130987</v>
      </c>
      <c r="M208">
        <v>207729.23</v>
      </c>
      <c r="N208">
        <v>228502</v>
      </c>
      <c r="O208">
        <v>326808.56999999995</v>
      </c>
      <c r="P208">
        <v>359489</v>
      </c>
      <c r="AD208" s="7" t="s">
        <v>43</v>
      </c>
      <c r="AE208">
        <v>78029.36</v>
      </c>
      <c r="AF208">
        <v>0.37</v>
      </c>
      <c r="AH208" s="6" t="s">
        <v>932</v>
      </c>
      <c r="AI208">
        <v>5</v>
      </c>
    </row>
    <row r="209" spans="10:35" x14ac:dyDescent="0.25">
      <c r="J209" s="7" t="s">
        <v>46</v>
      </c>
      <c r="L209">
        <v>0</v>
      </c>
      <c r="M209">
        <v>718.49</v>
      </c>
      <c r="N209">
        <v>790</v>
      </c>
      <c r="O209">
        <v>718.49</v>
      </c>
      <c r="P209">
        <v>790</v>
      </c>
      <c r="AD209" s="7" t="s">
        <v>343</v>
      </c>
      <c r="AE209">
        <v>43316.480000000003</v>
      </c>
      <c r="AF209">
        <v>15.2</v>
      </c>
      <c r="AH209" s="6" t="s">
        <v>48</v>
      </c>
    </row>
    <row r="210" spans="10:35" x14ac:dyDescent="0.25">
      <c r="J210" s="7" t="s">
        <v>307</v>
      </c>
      <c r="K210">
        <v>25079.8</v>
      </c>
      <c r="L210">
        <v>27588</v>
      </c>
      <c r="N210">
        <v>0</v>
      </c>
      <c r="O210">
        <v>25079.8</v>
      </c>
      <c r="P210">
        <v>27588</v>
      </c>
      <c r="AD210" s="6" t="s">
        <v>9</v>
      </c>
      <c r="AH210" s="7" t="s">
        <v>110</v>
      </c>
      <c r="AI210">
        <v>48578.11</v>
      </c>
    </row>
    <row r="211" spans="10:35" x14ac:dyDescent="0.25">
      <c r="J211" s="7" t="s">
        <v>614</v>
      </c>
      <c r="L211">
        <v>0</v>
      </c>
      <c r="M211">
        <v>79331.37</v>
      </c>
      <c r="N211">
        <v>87265</v>
      </c>
      <c r="O211">
        <v>79331.37</v>
      </c>
      <c r="P211">
        <v>87265</v>
      </c>
      <c r="AD211" s="7" t="s">
        <v>186</v>
      </c>
      <c r="AE211">
        <v>15735.99</v>
      </c>
      <c r="AF211">
        <v>95.76</v>
      </c>
      <c r="AH211" s="7" t="s">
        <v>137</v>
      </c>
      <c r="AI211">
        <v>8729.49</v>
      </c>
    </row>
    <row r="212" spans="10:35" x14ac:dyDescent="0.25">
      <c r="J212" s="7" t="s">
        <v>311</v>
      </c>
      <c r="L212">
        <v>0</v>
      </c>
      <c r="M212">
        <v>6333.53</v>
      </c>
      <c r="N212">
        <v>6967</v>
      </c>
      <c r="O212">
        <v>6333.53</v>
      </c>
      <c r="P212">
        <v>6967</v>
      </c>
      <c r="AD212" s="7" t="s">
        <v>70</v>
      </c>
      <c r="AE212">
        <v>33991.89</v>
      </c>
      <c r="AF212">
        <v>12.06</v>
      </c>
      <c r="AH212" s="7" t="s">
        <v>51</v>
      </c>
      <c r="AI212">
        <v>45144.24</v>
      </c>
    </row>
    <row r="213" spans="10:35" x14ac:dyDescent="0.25">
      <c r="J213" s="7" t="s">
        <v>132</v>
      </c>
      <c r="K213">
        <v>58381.49</v>
      </c>
      <c r="L213">
        <v>64220</v>
      </c>
      <c r="N213">
        <v>0</v>
      </c>
      <c r="O213">
        <v>58381.49</v>
      </c>
      <c r="P213">
        <v>64220</v>
      </c>
      <c r="AD213" s="7" t="s">
        <v>437</v>
      </c>
      <c r="AE213">
        <v>66029.7</v>
      </c>
      <c r="AF213">
        <v>28.16</v>
      </c>
      <c r="AH213" s="7" t="s">
        <v>487</v>
      </c>
      <c r="AI213">
        <v>49644.62</v>
      </c>
    </row>
    <row r="214" spans="10:35" x14ac:dyDescent="0.25">
      <c r="J214" s="7" t="s">
        <v>255</v>
      </c>
      <c r="K214">
        <v>35618.050000000003</v>
      </c>
      <c r="L214">
        <v>39180</v>
      </c>
      <c r="N214">
        <v>0</v>
      </c>
      <c r="O214">
        <v>35618.050000000003</v>
      </c>
      <c r="P214">
        <v>39180</v>
      </c>
      <c r="AD214" s="6" t="s">
        <v>40</v>
      </c>
      <c r="AH214" s="7" t="s">
        <v>211</v>
      </c>
      <c r="AI214">
        <v>71538.320000000007</v>
      </c>
    </row>
    <row r="215" spans="10:35" x14ac:dyDescent="0.25">
      <c r="J215" s="7" t="s">
        <v>43</v>
      </c>
      <c r="L215">
        <v>0</v>
      </c>
      <c r="M215">
        <v>78029.36</v>
      </c>
      <c r="N215">
        <v>85832</v>
      </c>
      <c r="O215">
        <v>78029.36</v>
      </c>
      <c r="P215">
        <v>85832</v>
      </c>
      <c r="AD215" s="7" t="s">
        <v>339</v>
      </c>
      <c r="AE215">
        <v>16459.38</v>
      </c>
      <c r="AF215">
        <v>47.77</v>
      </c>
      <c r="AH215" s="7" t="s">
        <v>683</v>
      </c>
      <c r="AI215">
        <v>35488.400000000001</v>
      </c>
    </row>
    <row r="216" spans="10:35" x14ac:dyDescent="0.25">
      <c r="J216" s="7" t="s">
        <v>343</v>
      </c>
      <c r="L216">
        <v>0</v>
      </c>
      <c r="M216">
        <v>43316.480000000003</v>
      </c>
      <c r="N216">
        <v>47648</v>
      </c>
      <c r="O216">
        <v>43316.480000000003</v>
      </c>
      <c r="P216">
        <v>47648</v>
      </c>
      <c r="AD216" s="7" t="s">
        <v>81</v>
      </c>
      <c r="AE216">
        <v>73875.25</v>
      </c>
      <c r="AF216">
        <v>96.02</v>
      </c>
      <c r="AH216" s="7" t="s">
        <v>511</v>
      </c>
      <c r="AI216">
        <v>21442.28</v>
      </c>
    </row>
    <row r="217" spans="10:35" x14ac:dyDescent="0.25">
      <c r="J217" s="6" t="s">
        <v>9</v>
      </c>
      <c r="K217">
        <v>100021.59</v>
      </c>
      <c r="L217">
        <v>110024</v>
      </c>
      <c r="M217">
        <v>15735.99</v>
      </c>
      <c r="N217">
        <v>17310</v>
      </c>
      <c r="O217">
        <v>115757.57999999999</v>
      </c>
      <c r="P217">
        <v>127333</v>
      </c>
      <c r="AD217" s="7" t="s">
        <v>177</v>
      </c>
      <c r="AE217">
        <v>3387.11</v>
      </c>
      <c r="AF217">
        <v>4.18</v>
      </c>
      <c r="AH217" s="7" t="s">
        <v>251</v>
      </c>
      <c r="AI217">
        <v>79446.820000000007</v>
      </c>
    </row>
    <row r="218" spans="10:35" x14ac:dyDescent="0.25">
      <c r="J218" s="7" t="s">
        <v>186</v>
      </c>
      <c r="L218">
        <v>0</v>
      </c>
      <c r="M218">
        <v>15735.99</v>
      </c>
      <c r="N218">
        <v>17310</v>
      </c>
      <c r="O218">
        <v>15735.99</v>
      </c>
      <c r="P218">
        <v>17310</v>
      </c>
      <c r="AD218" s="7" t="s">
        <v>289</v>
      </c>
      <c r="AE218">
        <v>768.33</v>
      </c>
      <c r="AF218">
        <v>84.75</v>
      </c>
      <c r="AH218" s="7" t="s">
        <v>479</v>
      </c>
      <c r="AI218">
        <v>89663</v>
      </c>
    </row>
    <row r="219" spans="10:35" x14ac:dyDescent="0.25">
      <c r="J219" s="7" t="s">
        <v>70</v>
      </c>
      <c r="K219">
        <v>33991.89</v>
      </c>
      <c r="L219">
        <v>37391</v>
      </c>
      <c r="N219">
        <v>0</v>
      </c>
      <c r="O219">
        <v>33991.89</v>
      </c>
      <c r="P219">
        <v>37391</v>
      </c>
      <c r="AD219" s="7" t="s">
        <v>525</v>
      </c>
      <c r="AE219">
        <v>71578.97</v>
      </c>
      <c r="AF219">
        <v>74.099999999999994</v>
      </c>
      <c r="AH219" s="6" t="s">
        <v>934</v>
      </c>
      <c r="AI219">
        <v>449675.27999999997</v>
      </c>
    </row>
    <row r="220" spans="10:35" x14ac:dyDescent="0.25">
      <c r="J220" s="7" t="s">
        <v>437</v>
      </c>
      <c r="K220">
        <v>66029.7</v>
      </c>
      <c r="L220">
        <v>72633</v>
      </c>
      <c r="N220">
        <v>0</v>
      </c>
      <c r="O220">
        <v>66029.7</v>
      </c>
      <c r="P220">
        <v>72633</v>
      </c>
      <c r="AD220" s="7" t="s">
        <v>471</v>
      </c>
      <c r="AE220">
        <v>49573.54</v>
      </c>
      <c r="AF220">
        <v>5.57</v>
      </c>
      <c r="AH220" s="6" t="s">
        <v>935</v>
      </c>
      <c r="AI220">
        <v>9</v>
      </c>
    </row>
    <row r="221" spans="10:35" x14ac:dyDescent="0.25">
      <c r="J221" s="6" t="s">
        <v>40</v>
      </c>
      <c r="K221">
        <v>187334.34</v>
      </c>
      <c r="L221">
        <v>206068</v>
      </c>
      <c r="M221">
        <v>93721.74</v>
      </c>
      <c r="N221">
        <v>103094</v>
      </c>
      <c r="O221">
        <v>281056.08</v>
      </c>
      <c r="P221">
        <v>309162</v>
      </c>
      <c r="AD221" s="7" t="s">
        <v>29</v>
      </c>
      <c r="AE221">
        <v>65413.5</v>
      </c>
      <c r="AF221">
        <v>30.01</v>
      </c>
      <c r="AH221" s="6" t="s">
        <v>936</v>
      </c>
      <c r="AI221">
        <v>49963.92</v>
      </c>
    </row>
    <row r="222" spans="10:35" x14ac:dyDescent="0.25">
      <c r="J222" s="7" t="s">
        <v>339</v>
      </c>
      <c r="L222">
        <v>0</v>
      </c>
      <c r="M222">
        <v>16459.38</v>
      </c>
      <c r="N222">
        <v>18105</v>
      </c>
      <c r="O222">
        <v>16459.38</v>
      </c>
      <c r="P222">
        <v>18105</v>
      </c>
      <c r="AD222" s="6" t="s">
        <v>19</v>
      </c>
      <c r="AH222" s="6" t="s">
        <v>935</v>
      </c>
      <c r="AI222">
        <v>9</v>
      </c>
    </row>
    <row r="223" spans="10:35" x14ac:dyDescent="0.25">
      <c r="J223" s="7" t="s">
        <v>81</v>
      </c>
      <c r="L223">
        <v>0</v>
      </c>
      <c r="M223">
        <v>73875.25</v>
      </c>
      <c r="N223">
        <v>81263</v>
      </c>
      <c r="O223">
        <v>73875.25</v>
      </c>
      <c r="P223">
        <v>81263</v>
      </c>
      <c r="AD223" s="7" t="s">
        <v>191</v>
      </c>
      <c r="AE223">
        <v>35270.660000000003</v>
      </c>
      <c r="AF223">
        <v>21.5</v>
      </c>
      <c r="AH223" s="6" t="s">
        <v>37</v>
      </c>
    </row>
    <row r="224" spans="10:35" x14ac:dyDescent="0.25">
      <c r="J224" s="7" t="s">
        <v>177</v>
      </c>
      <c r="L224">
        <v>0</v>
      </c>
      <c r="M224">
        <v>3387.11</v>
      </c>
      <c r="N224">
        <v>3726</v>
      </c>
      <c r="O224">
        <v>3387.11</v>
      </c>
      <c r="P224">
        <v>3726</v>
      </c>
      <c r="AD224" s="7" t="s">
        <v>790</v>
      </c>
      <c r="AE224">
        <v>37203.35</v>
      </c>
      <c r="AF224">
        <v>97.02</v>
      </c>
      <c r="AH224" s="7" t="s">
        <v>589</v>
      </c>
      <c r="AI224">
        <v>85264.3</v>
      </c>
    </row>
    <row r="225" spans="10:35" x14ac:dyDescent="0.25">
      <c r="J225" s="7" t="s">
        <v>289</v>
      </c>
      <c r="K225">
        <v>768.33</v>
      </c>
      <c r="L225">
        <v>845</v>
      </c>
      <c r="N225">
        <v>0</v>
      </c>
      <c r="O225">
        <v>768.33</v>
      </c>
      <c r="P225">
        <v>845</v>
      </c>
      <c r="AD225" s="7" t="s">
        <v>405</v>
      </c>
      <c r="AE225">
        <v>61368.98</v>
      </c>
      <c r="AF225">
        <v>46.41</v>
      </c>
      <c r="AH225" s="7" t="s">
        <v>24</v>
      </c>
      <c r="AI225">
        <v>26129.51</v>
      </c>
    </row>
    <row r="226" spans="10:35" x14ac:dyDescent="0.25">
      <c r="J226" s="7" t="s">
        <v>525</v>
      </c>
      <c r="K226">
        <v>71578.97</v>
      </c>
      <c r="L226">
        <v>78737</v>
      </c>
      <c r="N226">
        <v>0</v>
      </c>
      <c r="O226">
        <v>71578.97</v>
      </c>
      <c r="P226">
        <v>78737</v>
      </c>
      <c r="AD226" s="7" t="s">
        <v>330</v>
      </c>
      <c r="AE226">
        <v>30923.360000000001</v>
      </c>
      <c r="AF226">
        <v>21.4</v>
      </c>
      <c r="AH226" s="7" t="s">
        <v>360</v>
      </c>
      <c r="AI226">
        <v>16107.59</v>
      </c>
    </row>
    <row r="227" spans="10:35" x14ac:dyDescent="0.25">
      <c r="J227" s="7" t="s">
        <v>471</v>
      </c>
      <c r="K227">
        <v>49573.54</v>
      </c>
      <c r="L227">
        <v>54531</v>
      </c>
      <c r="N227">
        <v>0</v>
      </c>
      <c r="O227">
        <v>49573.54</v>
      </c>
      <c r="P227">
        <v>54531</v>
      </c>
      <c r="AD227" s="7" t="s">
        <v>739</v>
      </c>
      <c r="AE227">
        <v>16035.43</v>
      </c>
      <c r="AF227">
        <v>35.04</v>
      </c>
      <c r="AH227" s="7" t="s">
        <v>370</v>
      </c>
      <c r="AI227">
        <v>25016.46</v>
      </c>
    </row>
    <row r="228" spans="10:35" x14ac:dyDescent="0.25">
      <c r="J228" s="7" t="s">
        <v>29</v>
      </c>
      <c r="K228">
        <v>65413.5</v>
      </c>
      <c r="L228">
        <v>71955</v>
      </c>
      <c r="N228">
        <v>0</v>
      </c>
      <c r="O228">
        <v>65413.5</v>
      </c>
      <c r="P228">
        <v>71955</v>
      </c>
      <c r="AD228" s="7" t="s">
        <v>462</v>
      </c>
      <c r="AE228">
        <v>16861.830000000002</v>
      </c>
      <c r="AF228">
        <v>19.18</v>
      </c>
      <c r="AH228" s="7" t="s">
        <v>25</v>
      </c>
      <c r="AI228">
        <v>45970.59</v>
      </c>
    </row>
    <row r="229" spans="10:35" x14ac:dyDescent="0.25">
      <c r="J229" s="6" t="s">
        <v>19</v>
      </c>
      <c r="K229">
        <v>146357.52000000002</v>
      </c>
      <c r="L229">
        <v>160993</v>
      </c>
      <c r="M229">
        <v>51306.090000000004</v>
      </c>
      <c r="N229">
        <v>56437</v>
      </c>
      <c r="O229">
        <v>197663.61000000004</v>
      </c>
      <c r="P229">
        <v>217430</v>
      </c>
      <c r="AD229" s="6" t="s">
        <v>7</v>
      </c>
      <c r="AH229" s="7" t="s">
        <v>102</v>
      </c>
      <c r="AI229">
        <v>65095.51</v>
      </c>
    </row>
    <row r="230" spans="10:35" x14ac:dyDescent="0.25">
      <c r="J230" s="7" t="s">
        <v>191</v>
      </c>
      <c r="L230">
        <v>0</v>
      </c>
      <c r="M230">
        <v>35270.660000000003</v>
      </c>
      <c r="N230">
        <v>38798</v>
      </c>
      <c r="O230">
        <v>35270.660000000003</v>
      </c>
      <c r="P230">
        <v>38798</v>
      </c>
      <c r="AD230" s="7" t="s">
        <v>39</v>
      </c>
      <c r="AE230">
        <v>38717.9</v>
      </c>
      <c r="AF230">
        <v>66.650000000000006</v>
      </c>
      <c r="AH230" s="7" t="s">
        <v>281</v>
      </c>
      <c r="AI230">
        <v>17679.95</v>
      </c>
    </row>
    <row r="231" spans="10:35" x14ac:dyDescent="0.25">
      <c r="J231" s="7" t="s">
        <v>790</v>
      </c>
      <c r="K231">
        <v>37203.35</v>
      </c>
      <c r="L231">
        <v>40924</v>
      </c>
      <c r="N231">
        <v>0</v>
      </c>
      <c r="O231">
        <v>37203.35</v>
      </c>
      <c r="P231">
        <v>40924</v>
      </c>
      <c r="AD231" s="7" t="s">
        <v>181</v>
      </c>
      <c r="AE231">
        <v>87450</v>
      </c>
      <c r="AF231">
        <v>26.14</v>
      </c>
      <c r="AH231" s="7" t="s">
        <v>425</v>
      </c>
      <c r="AI231">
        <v>82311.7</v>
      </c>
    </row>
    <row r="232" spans="10:35" x14ac:dyDescent="0.25">
      <c r="J232" s="7" t="s">
        <v>405</v>
      </c>
      <c r="K232">
        <v>61368.98</v>
      </c>
      <c r="L232">
        <v>67506</v>
      </c>
      <c r="N232">
        <v>0</v>
      </c>
      <c r="O232">
        <v>61368.98</v>
      </c>
      <c r="P232">
        <v>67506</v>
      </c>
      <c r="AD232" s="7" t="s">
        <v>365</v>
      </c>
      <c r="AE232">
        <v>33525.82</v>
      </c>
      <c r="AF232">
        <v>86.81</v>
      </c>
      <c r="AH232" s="7" t="s">
        <v>58</v>
      </c>
      <c r="AI232">
        <v>71347.63</v>
      </c>
    </row>
    <row r="233" spans="10:35" x14ac:dyDescent="0.25">
      <c r="J233" s="7" t="s">
        <v>330</v>
      </c>
      <c r="K233">
        <v>30923.360000000001</v>
      </c>
      <c r="L233">
        <v>34016</v>
      </c>
      <c r="N233">
        <v>0</v>
      </c>
      <c r="O233">
        <v>30923.360000000001</v>
      </c>
      <c r="P233">
        <v>34016</v>
      </c>
      <c r="AD233" s="7" t="s">
        <v>159</v>
      </c>
      <c r="AE233">
        <v>86567.11</v>
      </c>
      <c r="AF233">
        <v>84.21</v>
      </c>
      <c r="AH233" s="7" t="s">
        <v>797</v>
      </c>
      <c r="AI233">
        <v>38061.58</v>
      </c>
    </row>
    <row r="234" spans="10:35" x14ac:dyDescent="0.25">
      <c r="J234" s="7" t="s">
        <v>739</v>
      </c>
      <c r="L234">
        <v>0</v>
      </c>
      <c r="M234">
        <v>16035.43</v>
      </c>
      <c r="N234">
        <v>17639</v>
      </c>
      <c r="O234">
        <v>16035.43</v>
      </c>
      <c r="P234">
        <v>17639</v>
      </c>
      <c r="AD234" s="6" t="s">
        <v>854</v>
      </c>
      <c r="AE234">
        <v>8996331.0900000036</v>
      </c>
      <c r="AF234">
        <v>48.445650000000015</v>
      </c>
      <c r="AH234" s="6" t="s">
        <v>937</v>
      </c>
      <c r="AI234">
        <v>472984.82</v>
      </c>
    </row>
    <row r="235" spans="10:35" x14ac:dyDescent="0.25">
      <c r="J235" s="7" t="s">
        <v>462</v>
      </c>
      <c r="K235">
        <v>16861.830000000002</v>
      </c>
      <c r="L235">
        <v>18548</v>
      </c>
      <c r="N235">
        <v>0</v>
      </c>
      <c r="O235">
        <v>16861.830000000002</v>
      </c>
      <c r="P235">
        <v>18548</v>
      </c>
      <c r="AH235" s="6" t="s">
        <v>938</v>
      </c>
      <c r="AI235">
        <v>10</v>
      </c>
    </row>
    <row r="236" spans="10:35" x14ac:dyDescent="0.25">
      <c r="J236" s="6" t="s">
        <v>7</v>
      </c>
      <c r="L236">
        <v>0</v>
      </c>
      <c r="M236">
        <v>246260.83000000002</v>
      </c>
      <c r="N236">
        <v>270887</v>
      </c>
      <c r="O236">
        <v>246260.83000000002</v>
      </c>
      <c r="P236">
        <v>270887</v>
      </c>
      <c r="AH236" s="6" t="s">
        <v>939</v>
      </c>
      <c r="AI236">
        <v>47298.482000000004</v>
      </c>
    </row>
    <row r="237" spans="10:35" x14ac:dyDescent="0.25">
      <c r="J237" s="7" t="s">
        <v>39</v>
      </c>
      <c r="L237">
        <v>0</v>
      </c>
      <c r="M237">
        <v>38717.9</v>
      </c>
      <c r="N237">
        <v>42590</v>
      </c>
      <c r="O237">
        <v>38717.9</v>
      </c>
      <c r="P237">
        <v>42590</v>
      </c>
      <c r="AH237" s="6" t="s">
        <v>938</v>
      </c>
      <c r="AI237">
        <v>10</v>
      </c>
    </row>
    <row r="238" spans="10:35" x14ac:dyDescent="0.25">
      <c r="J238" s="7" t="s">
        <v>181</v>
      </c>
      <c r="L238">
        <v>0</v>
      </c>
      <c r="M238">
        <v>87450</v>
      </c>
      <c r="N238">
        <v>96195</v>
      </c>
      <c r="O238">
        <v>87450</v>
      </c>
      <c r="P238">
        <v>96195</v>
      </c>
      <c r="AH238" s="6" t="s">
        <v>13</v>
      </c>
    </row>
    <row r="239" spans="10:35" x14ac:dyDescent="0.25">
      <c r="J239" s="7" t="s">
        <v>365</v>
      </c>
      <c r="L239">
        <v>0</v>
      </c>
      <c r="M239">
        <v>33525.82</v>
      </c>
      <c r="N239">
        <v>36878</v>
      </c>
      <c r="O239">
        <v>33525.82</v>
      </c>
      <c r="P239">
        <v>36878</v>
      </c>
      <c r="AH239" s="7" t="s">
        <v>55</v>
      </c>
      <c r="AI239">
        <v>62968.51</v>
      </c>
    </row>
    <row r="240" spans="10:35" x14ac:dyDescent="0.25">
      <c r="J240" s="7" t="s">
        <v>159</v>
      </c>
      <c r="L240">
        <v>0</v>
      </c>
      <c r="M240">
        <v>86567.11</v>
      </c>
      <c r="N240">
        <v>95224</v>
      </c>
      <c r="O240">
        <v>86567.11</v>
      </c>
      <c r="P240">
        <v>95224</v>
      </c>
      <c r="AH240" s="7" t="s">
        <v>49</v>
      </c>
      <c r="AI240">
        <v>88193.17</v>
      </c>
    </row>
    <row r="241" spans="10:35" x14ac:dyDescent="0.25">
      <c r="J241" s="6" t="s">
        <v>854</v>
      </c>
      <c r="K241">
        <v>4534898.4799999995</v>
      </c>
      <c r="L241">
        <v>4988388</v>
      </c>
      <c r="M241">
        <v>4461432.6099999994</v>
      </c>
      <c r="N241">
        <v>4907576</v>
      </c>
      <c r="O241">
        <v>8996331.0900000036</v>
      </c>
      <c r="P241">
        <v>9895964</v>
      </c>
      <c r="AH241" s="7" t="s">
        <v>811</v>
      </c>
      <c r="AI241">
        <v>40457.550000000003</v>
      </c>
    </row>
    <row r="242" spans="10:35" x14ac:dyDescent="0.25">
      <c r="AH242" s="7" t="s">
        <v>323</v>
      </c>
      <c r="AI242">
        <v>61803.49</v>
      </c>
    </row>
    <row r="243" spans="10:35" x14ac:dyDescent="0.25">
      <c r="AH243" s="7" t="s">
        <v>348</v>
      </c>
      <c r="AI243">
        <v>66441.679999999993</v>
      </c>
    </row>
    <row r="244" spans="10:35" x14ac:dyDescent="0.25">
      <c r="AH244" s="7" t="s">
        <v>52</v>
      </c>
      <c r="AI244">
        <v>36841.01</v>
      </c>
    </row>
    <row r="245" spans="10:35" x14ac:dyDescent="0.25">
      <c r="AH245" s="7" t="s">
        <v>215</v>
      </c>
      <c r="AI245">
        <v>71213.23</v>
      </c>
    </row>
    <row r="246" spans="10:35" x14ac:dyDescent="0.25">
      <c r="AH246" s="6" t="s">
        <v>940</v>
      </c>
      <c r="AI246">
        <v>427918.63999999996</v>
      </c>
    </row>
    <row r="247" spans="10:35" x14ac:dyDescent="0.25">
      <c r="AH247" s="6" t="s">
        <v>941</v>
      </c>
      <c r="AI247">
        <v>7</v>
      </c>
    </row>
    <row r="248" spans="10:35" x14ac:dyDescent="0.25">
      <c r="AH248" s="6" t="s">
        <v>942</v>
      </c>
      <c r="AI248">
        <v>61131.234285714279</v>
      </c>
    </row>
    <row r="249" spans="10:35" x14ac:dyDescent="0.25">
      <c r="AH249" s="6" t="s">
        <v>941</v>
      </c>
      <c r="AI249">
        <v>7</v>
      </c>
    </row>
    <row r="250" spans="10:35" x14ac:dyDescent="0.25">
      <c r="AH250" s="6" t="s">
        <v>12</v>
      </c>
    </row>
    <row r="251" spans="10:35" x14ac:dyDescent="0.25">
      <c r="AH251" s="7" t="s">
        <v>728</v>
      </c>
      <c r="AI251">
        <v>64703.05</v>
      </c>
    </row>
    <row r="252" spans="10:35" x14ac:dyDescent="0.25">
      <c r="AH252" s="7" t="s">
        <v>458</v>
      </c>
      <c r="AI252">
        <v>12962.91</v>
      </c>
    </row>
    <row r="253" spans="10:35" x14ac:dyDescent="0.25">
      <c r="AH253" s="7" t="s">
        <v>356</v>
      </c>
      <c r="AI253">
        <v>41410.54</v>
      </c>
    </row>
    <row r="254" spans="10:35" x14ac:dyDescent="0.25">
      <c r="AH254" s="7" t="s">
        <v>208</v>
      </c>
      <c r="AI254">
        <v>6380.07</v>
      </c>
    </row>
    <row r="255" spans="10:35" x14ac:dyDescent="0.25">
      <c r="AH255" s="7" t="s">
        <v>25</v>
      </c>
      <c r="AI255">
        <v>78764.62</v>
      </c>
    </row>
    <row r="256" spans="10:35" x14ac:dyDescent="0.25">
      <c r="AH256" s="7" t="s">
        <v>58</v>
      </c>
      <c r="AI256">
        <v>46271.88</v>
      </c>
    </row>
    <row r="257" spans="34:35" x14ac:dyDescent="0.25">
      <c r="AH257" s="7" t="s">
        <v>85</v>
      </c>
      <c r="AI257">
        <v>74933.490000000005</v>
      </c>
    </row>
    <row r="258" spans="34:35" x14ac:dyDescent="0.25">
      <c r="AH258" s="7" t="s">
        <v>10</v>
      </c>
      <c r="AI258">
        <v>66175.759999999995</v>
      </c>
    </row>
    <row r="259" spans="34:35" x14ac:dyDescent="0.25">
      <c r="AH259" s="7" t="s">
        <v>621</v>
      </c>
      <c r="AI259">
        <v>79253.179999999993</v>
      </c>
    </row>
    <row r="260" spans="34:35" x14ac:dyDescent="0.25">
      <c r="AH260" s="7" t="s">
        <v>596</v>
      </c>
      <c r="AI260">
        <v>21572.26</v>
      </c>
    </row>
    <row r="261" spans="34:35" x14ac:dyDescent="0.25">
      <c r="AH261" s="6" t="s">
        <v>943</v>
      </c>
      <c r="AI261">
        <v>492427.76</v>
      </c>
    </row>
    <row r="262" spans="34:35" x14ac:dyDescent="0.25">
      <c r="AH262" s="6" t="s">
        <v>944</v>
      </c>
      <c r="AI262">
        <v>10</v>
      </c>
    </row>
    <row r="263" spans="34:35" x14ac:dyDescent="0.25">
      <c r="AH263" s="6" t="s">
        <v>945</v>
      </c>
      <c r="AI263">
        <v>49242.775999999998</v>
      </c>
    </row>
    <row r="264" spans="34:35" x14ac:dyDescent="0.25">
      <c r="AH264" s="6" t="s">
        <v>944</v>
      </c>
      <c r="AI264">
        <v>10</v>
      </c>
    </row>
    <row r="265" spans="34:35" x14ac:dyDescent="0.25">
      <c r="AH265" s="6" t="s">
        <v>15</v>
      </c>
    </row>
    <row r="266" spans="34:35" x14ac:dyDescent="0.25">
      <c r="AH266" s="7" t="s">
        <v>198</v>
      </c>
      <c r="AI266">
        <v>68436.149999999994</v>
      </c>
    </row>
    <row r="267" spans="34:35" x14ac:dyDescent="0.25">
      <c r="AH267" s="7" t="s">
        <v>68</v>
      </c>
      <c r="AI267">
        <v>56117.91</v>
      </c>
    </row>
    <row r="268" spans="34:35" x14ac:dyDescent="0.25">
      <c r="AH268" s="7" t="s">
        <v>6</v>
      </c>
      <c r="AI268">
        <v>3619.93</v>
      </c>
    </row>
    <row r="269" spans="34:35" x14ac:dyDescent="0.25">
      <c r="AH269" s="7" t="s">
        <v>45</v>
      </c>
      <c r="AI269">
        <v>36306.9</v>
      </c>
    </row>
    <row r="270" spans="34:35" x14ac:dyDescent="0.25">
      <c r="AH270" s="7" t="s">
        <v>218</v>
      </c>
      <c r="AI270">
        <v>58974.98</v>
      </c>
    </row>
    <row r="271" spans="34:35" x14ac:dyDescent="0.25">
      <c r="AH271" s="7" t="s">
        <v>444</v>
      </c>
      <c r="AI271">
        <v>21539.16</v>
      </c>
    </row>
    <row r="272" spans="34:35" x14ac:dyDescent="0.25">
      <c r="AH272" s="7" t="s">
        <v>67</v>
      </c>
      <c r="AI272">
        <v>19359.05</v>
      </c>
    </row>
    <row r="273" spans="34:35" x14ac:dyDescent="0.25">
      <c r="AH273" s="7" t="s">
        <v>251</v>
      </c>
      <c r="AI273">
        <v>36485.56</v>
      </c>
    </row>
    <row r="274" spans="34:35" x14ac:dyDescent="0.25">
      <c r="AH274" s="6" t="s">
        <v>946</v>
      </c>
      <c r="AI274">
        <v>300839.64</v>
      </c>
    </row>
    <row r="275" spans="34:35" x14ac:dyDescent="0.25">
      <c r="AH275" s="6" t="s">
        <v>947</v>
      </c>
      <c r="AI275">
        <v>8</v>
      </c>
    </row>
    <row r="276" spans="34:35" x14ac:dyDescent="0.25">
      <c r="AH276" s="6" t="s">
        <v>948</v>
      </c>
      <c r="AI276">
        <v>37604.955000000002</v>
      </c>
    </row>
    <row r="277" spans="34:35" x14ac:dyDescent="0.25">
      <c r="AH277" s="6" t="s">
        <v>947</v>
      </c>
      <c r="AI277">
        <v>8</v>
      </c>
    </row>
    <row r="278" spans="34:35" x14ac:dyDescent="0.25">
      <c r="AH278" s="6" t="s">
        <v>3</v>
      </c>
    </row>
    <row r="279" spans="34:35" x14ac:dyDescent="0.25">
      <c r="AH279" s="7" t="s">
        <v>68</v>
      </c>
      <c r="AI279">
        <v>4254.01</v>
      </c>
    </row>
    <row r="280" spans="34:35" x14ac:dyDescent="0.25">
      <c r="AH280" s="7" t="s">
        <v>307</v>
      </c>
      <c r="AI280">
        <v>47311.15</v>
      </c>
    </row>
    <row r="281" spans="34:35" x14ac:dyDescent="0.25">
      <c r="AH281" s="7" t="s">
        <v>694</v>
      </c>
      <c r="AI281">
        <v>42845.9</v>
      </c>
    </row>
    <row r="282" spans="34:35" x14ac:dyDescent="0.25">
      <c r="AH282" s="7" t="s">
        <v>91</v>
      </c>
      <c r="AI282">
        <v>48316.49</v>
      </c>
    </row>
    <row r="283" spans="34:35" x14ac:dyDescent="0.25">
      <c r="AH283" s="7" t="s">
        <v>26</v>
      </c>
      <c r="AI283">
        <v>5751.15</v>
      </c>
    </row>
    <row r="284" spans="34:35" x14ac:dyDescent="0.25">
      <c r="AH284" s="6" t="s">
        <v>949</v>
      </c>
      <c r="AI284">
        <v>148478.69999999998</v>
      </c>
    </row>
    <row r="285" spans="34:35" x14ac:dyDescent="0.25">
      <c r="AH285" s="6" t="s">
        <v>950</v>
      </c>
      <c r="AI285">
        <v>5</v>
      </c>
    </row>
    <row r="286" spans="34:35" x14ac:dyDescent="0.25">
      <c r="AH286" s="6" t="s">
        <v>951</v>
      </c>
      <c r="AI286">
        <v>29695.739999999998</v>
      </c>
    </row>
    <row r="287" spans="34:35" x14ac:dyDescent="0.25">
      <c r="AH287" s="6" t="s">
        <v>950</v>
      </c>
      <c r="AI287">
        <v>5</v>
      </c>
    </row>
    <row r="288" spans="34:35" x14ac:dyDescent="0.25">
      <c r="AH288" s="6" t="s">
        <v>32</v>
      </c>
    </row>
    <row r="289" spans="34:35" x14ac:dyDescent="0.25">
      <c r="AH289" s="7" t="s">
        <v>31</v>
      </c>
      <c r="AI289">
        <v>27932.68</v>
      </c>
    </row>
    <row r="290" spans="34:35" x14ac:dyDescent="0.25">
      <c r="AH290" s="7" t="s">
        <v>225</v>
      </c>
      <c r="AI290">
        <v>76370.97</v>
      </c>
    </row>
    <row r="291" spans="34:35" x14ac:dyDescent="0.25">
      <c r="AH291" s="7" t="s">
        <v>132</v>
      </c>
      <c r="AI291">
        <v>58282.41</v>
      </c>
    </row>
    <row r="292" spans="34:35" x14ac:dyDescent="0.25">
      <c r="AH292" s="7" t="s">
        <v>255</v>
      </c>
      <c r="AI292">
        <v>24892.78</v>
      </c>
    </row>
    <row r="293" spans="34:35" x14ac:dyDescent="0.25">
      <c r="AH293" s="7" t="s">
        <v>269</v>
      </c>
      <c r="AI293">
        <v>10271.66</v>
      </c>
    </row>
    <row r="294" spans="34:35" x14ac:dyDescent="0.25">
      <c r="AH294" s="7" t="s">
        <v>145</v>
      </c>
      <c r="AI294">
        <v>45015.519999999997</v>
      </c>
    </row>
    <row r="295" spans="34:35" x14ac:dyDescent="0.25">
      <c r="AH295" s="6" t="s">
        <v>952</v>
      </c>
      <c r="AI295">
        <v>242766.02</v>
      </c>
    </row>
    <row r="296" spans="34:35" x14ac:dyDescent="0.25">
      <c r="AH296" s="6" t="s">
        <v>953</v>
      </c>
      <c r="AI296">
        <v>6</v>
      </c>
    </row>
    <row r="297" spans="34:35" x14ac:dyDescent="0.25">
      <c r="AH297" s="6" t="s">
        <v>954</v>
      </c>
      <c r="AI297">
        <v>40461.003333333334</v>
      </c>
    </row>
    <row r="298" spans="34:35" x14ac:dyDescent="0.25">
      <c r="AH298" s="6" t="s">
        <v>953</v>
      </c>
      <c r="AI298">
        <v>6</v>
      </c>
    </row>
    <row r="299" spans="34:35" x14ac:dyDescent="0.25">
      <c r="AH299" s="6" t="s">
        <v>28</v>
      </c>
    </row>
    <row r="300" spans="34:35" x14ac:dyDescent="0.25">
      <c r="AH300" s="7" t="s">
        <v>167</v>
      </c>
      <c r="AI300">
        <v>22188.53</v>
      </c>
    </row>
    <row r="301" spans="34:35" x14ac:dyDescent="0.25">
      <c r="AH301" s="7" t="s">
        <v>607</v>
      </c>
      <c r="AI301">
        <v>83001.91</v>
      </c>
    </row>
    <row r="302" spans="34:35" x14ac:dyDescent="0.25">
      <c r="AH302" s="7" t="s">
        <v>528</v>
      </c>
      <c r="AI302">
        <v>978.01</v>
      </c>
    </row>
    <row r="303" spans="34:35" x14ac:dyDescent="0.25">
      <c r="AH303" s="7" t="s">
        <v>507</v>
      </c>
      <c r="AI303">
        <v>78772.259999999995</v>
      </c>
    </row>
    <row r="304" spans="34:35" x14ac:dyDescent="0.25">
      <c r="AH304" s="7" t="s">
        <v>475</v>
      </c>
      <c r="AI304">
        <v>78228.34</v>
      </c>
    </row>
    <row r="305" spans="34:35" x14ac:dyDescent="0.25">
      <c r="AH305" s="7" t="s">
        <v>106</v>
      </c>
      <c r="AI305">
        <v>20126.98</v>
      </c>
    </row>
    <row r="306" spans="34:35" x14ac:dyDescent="0.25">
      <c r="AH306" s="7" t="s">
        <v>635</v>
      </c>
      <c r="AI306">
        <v>11115.72</v>
      </c>
    </row>
    <row r="307" spans="34:35" x14ac:dyDescent="0.25">
      <c r="AH307" s="7" t="s">
        <v>777</v>
      </c>
      <c r="AI307">
        <v>37103.4</v>
      </c>
    </row>
    <row r="308" spans="34:35" x14ac:dyDescent="0.25">
      <c r="AH308" s="7" t="s">
        <v>518</v>
      </c>
      <c r="AI308">
        <v>86954.37</v>
      </c>
    </row>
    <row r="309" spans="34:35" x14ac:dyDescent="0.25">
      <c r="AH309" s="6" t="s">
        <v>955</v>
      </c>
      <c r="AI309">
        <v>418469.51999999996</v>
      </c>
    </row>
    <row r="310" spans="34:35" x14ac:dyDescent="0.25">
      <c r="AH310" s="6" t="s">
        <v>956</v>
      </c>
      <c r="AI310">
        <v>9</v>
      </c>
    </row>
    <row r="311" spans="34:35" x14ac:dyDescent="0.25">
      <c r="AH311" s="6" t="s">
        <v>957</v>
      </c>
      <c r="AI311">
        <v>46496.613333333327</v>
      </c>
    </row>
    <row r="312" spans="34:35" x14ac:dyDescent="0.25">
      <c r="AH312" s="6" t="s">
        <v>956</v>
      </c>
      <c r="AI312">
        <v>9</v>
      </c>
    </row>
    <row r="313" spans="34:35" x14ac:dyDescent="0.25">
      <c r="AH313" s="6" t="s">
        <v>33</v>
      </c>
    </row>
    <row r="314" spans="34:35" x14ac:dyDescent="0.25">
      <c r="AH314" s="7" t="s">
        <v>768</v>
      </c>
      <c r="AI314">
        <v>50924.3</v>
      </c>
    </row>
    <row r="315" spans="34:35" x14ac:dyDescent="0.25">
      <c r="AH315" s="7" t="s">
        <v>493</v>
      </c>
      <c r="AI315">
        <v>54746.71</v>
      </c>
    </row>
    <row r="316" spans="34:35" x14ac:dyDescent="0.25">
      <c r="AH316" s="7" t="s">
        <v>379</v>
      </c>
      <c r="AI316">
        <v>84391</v>
      </c>
    </row>
    <row r="317" spans="34:35" x14ac:dyDescent="0.25">
      <c r="AH317" s="7" t="s">
        <v>433</v>
      </c>
      <c r="AI317">
        <v>10628.5</v>
      </c>
    </row>
    <row r="318" spans="34:35" x14ac:dyDescent="0.25">
      <c r="AH318" s="7" t="s">
        <v>154</v>
      </c>
      <c r="AI318">
        <v>36714.550000000003</v>
      </c>
    </row>
    <row r="319" spans="34:35" x14ac:dyDescent="0.25">
      <c r="AH319" s="7" t="s">
        <v>635</v>
      </c>
      <c r="AI319">
        <v>23840.38</v>
      </c>
    </row>
    <row r="320" spans="34:35" x14ac:dyDescent="0.25">
      <c r="AH320" s="7" t="s">
        <v>387</v>
      </c>
      <c r="AI320">
        <v>48371.360000000001</v>
      </c>
    </row>
    <row r="321" spans="34:35" x14ac:dyDescent="0.25">
      <c r="AH321" s="7" t="s">
        <v>462</v>
      </c>
      <c r="AI321">
        <v>58789.74</v>
      </c>
    </row>
    <row r="322" spans="34:35" x14ac:dyDescent="0.25">
      <c r="AH322" s="6" t="s">
        <v>958</v>
      </c>
      <c r="AI322">
        <v>368406.54</v>
      </c>
    </row>
    <row r="323" spans="34:35" x14ac:dyDescent="0.25">
      <c r="AH323" s="6" t="s">
        <v>959</v>
      </c>
      <c r="AI323">
        <v>8</v>
      </c>
    </row>
    <row r="324" spans="34:35" x14ac:dyDescent="0.25">
      <c r="AH324" s="6" t="s">
        <v>960</v>
      </c>
      <c r="AI324">
        <v>46050.817499999997</v>
      </c>
    </row>
    <row r="325" spans="34:35" x14ac:dyDescent="0.25">
      <c r="AH325" s="6" t="s">
        <v>959</v>
      </c>
      <c r="AI325">
        <v>8</v>
      </c>
    </row>
    <row r="326" spans="34:35" x14ac:dyDescent="0.25">
      <c r="AH326" s="6" t="s">
        <v>64</v>
      </c>
    </row>
    <row r="327" spans="34:35" x14ac:dyDescent="0.25">
      <c r="AH327" s="7" t="s">
        <v>46</v>
      </c>
      <c r="AI327">
        <v>718.49</v>
      </c>
    </row>
    <row r="328" spans="34:35" x14ac:dyDescent="0.25">
      <c r="AH328" s="7" t="s">
        <v>307</v>
      </c>
      <c r="AI328">
        <v>25079.8</v>
      </c>
    </row>
    <row r="329" spans="34:35" x14ac:dyDescent="0.25">
      <c r="AH329" s="7" t="s">
        <v>614</v>
      </c>
      <c r="AI329">
        <v>79331.37</v>
      </c>
    </row>
    <row r="330" spans="34:35" x14ac:dyDescent="0.25">
      <c r="AH330" s="7" t="s">
        <v>311</v>
      </c>
      <c r="AI330">
        <v>6333.53</v>
      </c>
    </row>
    <row r="331" spans="34:35" x14ac:dyDescent="0.25">
      <c r="AH331" s="7" t="s">
        <v>132</v>
      </c>
      <c r="AI331">
        <v>58381.49</v>
      </c>
    </row>
    <row r="332" spans="34:35" x14ac:dyDescent="0.25">
      <c r="AH332" s="7" t="s">
        <v>255</v>
      </c>
      <c r="AI332">
        <v>35618.050000000003</v>
      </c>
    </row>
    <row r="333" spans="34:35" x14ac:dyDescent="0.25">
      <c r="AH333" s="7" t="s">
        <v>43</v>
      </c>
      <c r="AI333">
        <v>78029.36</v>
      </c>
    </row>
    <row r="334" spans="34:35" x14ac:dyDescent="0.25">
      <c r="AH334" s="7" t="s">
        <v>343</v>
      </c>
      <c r="AI334">
        <v>43316.480000000003</v>
      </c>
    </row>
    <row r="335" spans="34:35" x14ac:dyDescent="0.25">
      <c r="AH335" s="6" t="s">
        <v>961</v>
      </c>
      <c r="AI335">
        <v>326808.56999999995</v>
      </c>
    </row>
    <row r="336" spans="34:35" x14ac:dyDescent="0.25">
      <c r="AH336" s="6" t="s">
        <v>962</v>
      </c>
      <c r="AI336">
        <v>8</v>
      </c>
    </row>
    <row r="337" spans="34:35" x14ac:dyDescent="0.25">
      <c r="AH337" s="6" t="s">
        <v>963</v>
      </c>
      <c r="AI337">
        <v>40851.071249999994</v>
      </c>
    </row>
    <row r="338" spans="34:35" x14ac:dyDescent="0.25">
      <c r="AH338" s="6" t="s">
        <v>962</v>
      </c>
      <c r="AI338">
        <v>8</v>
      </c>
    </row>
    <row r="339" spans="34:35" x14ac:dyDescent="0.25">
      <c r="AH339" s="6" t="s">
        <v>9</v>
      </c>
    </row>
    <row r="340" spans="34:35" x14ac:dyDescent="0.25">
      <c r="AH340" s="7" t="s">
        <v>186</v>
      </c>
      <c r="AI340">
        <v>15735.99</v>
      </c>
    </row>
    <row r="341" spans="34:35" x14ac:dyDescent="0.25">
      <c r="AH341" s="7" t="s">
        <v>70</v>
      </c>
      <c r="AI341">
        <v>33991.89</v>
      </c>
    </row>
    <row r="342" spans="34:35" x14ac:dyDescent="0.25">
      <c r="AH342" s="7" t="s">
        <v>437</v>
      </c>
      <c r="AI342">
        <v>66029.7</v>
      </c>
    </row>
    <row r="343" spans="34:35" x14ac:dyDescent="0.25">
      <c r="AH343" s="6" t="s">
        <v>964</v>
      </c>
      <c r="AI343">
        <v>115757.57999999999</v>
      </c>
    </row>
    <row r="344" spans="34:35" x14ac:dyDescent="0.25">
      <c r="AH344" s="6" t="s">
        <v>965</v>
      </c>
      <c r="AI344">
        <v>3</v>
      </c>
    </row>
    <row r="345" spans="34:35" x14ac:dyDescent="0.25">
      <c r="AH345" s="6" t="s">
        <v>966</v>
      </c>
      <c r="AI345">
        <v>38585.859999999993</v>
      </c>
    </row>
    <row r="346" spans="34:35" x14ac:dyDescent="0.25">
      <c r="AH346" s="6" t="s">
        <v>965</v>
      </c>
      <c r="AI346">
        <v>3</v>
      </c>
    </row>
    <row r="347" spans="34:35" x14ac:dyDescent="0.25">
      <c r="AH347" s="6" t="s">
        <v>40</v>
      </c>
    </row>
    <row r="348" spans="34:35" x14ac:dyDescent="0.25">
      <c r="AH348" s="7" t="s">
        <v>339</v>
      </c>
      <c r="AI348">
        <v>16459.38</v>
      </c>
    </row>
    <row r="349" spans="34:35" x14ac:dyDescent="0.25">
      <c r="AH349" s="7" t="s">
        <v>81</v>
      </c>
      <c r="AI349">
        <v>73875.25</v>
      </c>
    </row>
    <row r="350" spans="34:35" x14ac:dyDescent="0.25">
      <c r="AH350" s="7" t="s">
        <v>177</v>
      </c>
      <c r="AI350">
        <v>3387.11</v>
      </c>
    </row>
    <row r="351" spans="34:35" x14ac:dyDescent="0.25">
      <c r="AH351" s="7" t="s">
        <v>289</v>
      </c>
      <c r="AI351">
        <v>768.33</v>
      </c>
    </row>
    <row r="352" spans="34:35" x14ac:dyDescent="0.25">
      <c r="AH352" s="7" t="s">
        <v>525</v>
      </c>
      <c r="AI352">
        <v>71578.97</v>
      </c>
    </row>
    <row r="353" spans="34:35" x14ac:dyDescent="0.25">
      <c r="AH353" s="7" t="s">
        <v>471</v>
      </c>
      <c r="AI353">
        <v>49573.54</v>
      </c>
    </row>
    <row r="354" spans="34:35" x14ac:dyDescent="0.25">
      <c r="AH354" s="7" t="s">
        <v>29</v>
      </c>
      <c r="AI354">
        <v>65413.5</v>
      </c>
    </row>
    <row r="355" spans="34:35" x14ac:dyDescent="0.25">
      <c r="AH355" s="6" t="s">
        <v>967</v>
      </c>
      <c r="AI355">
        <v>281056.08</v>
      </c>
    </row>
    <row r="356" spans="34:35" x14ac:dyDescent="0.25">
      <c r="AH356" s="6" t="s">
        <v>968</v>
      </c>
      <c r="AI356">
        <v>7</v>
      </c>
    </row>
    <row r="357" spans="34:35" x14ac:dyDescent="0.25">
      <c r="AH357" s="6" t="s">
        <v>969</v>
      </c>
      <c r="AI357">
        <v>40150.868571428575</v>
      </c>
    </row>
    <row r="358" spans="34:35" x14ac:dyDescent="0.25">
      <c r="AH358" s="6" t="s">
        <v>968</v>
      </c>
      <c r="AI358">
        <v>7</v>
      </c>
    </row>
    <row r="359" spans="34:35" x14ac:dyDescent="0.25">
      <c r="AH359" s="6" t="s">
        <v>19</v>
      </c>
    </row>
    <row r="360" spans="34:35" x14ac:dyDescent="0.25">
      <c r="AH360" s="7" t="s">
        <v>191</v>
      </c>
      <c r="AI360">
        <v>35270.660000000003</v>
      </c>
    </row>
    <row r="361" spans="34:35" x14ac:dyDescent="0.25">
      <c r="AH361" s="7" t="s">
        <v>790</v>
      </c>
      <c r="AI361">
        <v>37203.35</v>
      </c>
    </row>
    <row r="362" spans="34:35" x14ac:dyDescent="0.25">
      <c r="AH362" s="7" t="s">
        <v>405</v>
      </c>
      <c r="AI362">
        <v>61368.98</v>
      </c>
    </row>
    <row r="363" spans="34:35" x14ac:dyDescent="0.25">
      <c r="AH363" s="7" t="s">
        <v>330</v>
      </c>
      <c r="AI363">
        <v>30923.360000000001</v>
      </c>
    </row>
    <row r="364" spans="34:35" x14ac:dyDescent="0.25">
      <c r="AH364" s="7" t="s">
        <v>739</v>
      </c>
      <c r="AI364">
        <v>16035.43</v>
      </c>
    </row>
    <row r="365" spans="34:35" x14ac:dyDescent="0.25">
      <c r="AH365" s="7" t="s">
        <v>462</v>
      </c>
      <c r="AI365">
        <v>16861.830000000002</v>
      </c>
    </row>
    <row r="366" spans="34:35" x14ac:dyDescent="0.25">
      <c r="AH366" s="6" t="s">
        <v>970</v>
      </c>
      <c r="AI366">
        <v>197663.61000000004</v>
      </c>
    </row>
    <row r="367" spans="34:35" x14ac:dyDescent="0.25">
      <c r="AH367" s="6" t="s">
        <v>971</v>
      </c>
      <c r="AI367">
        <v>6</v>
      </c>
    </row>
    <row r="368" spans="34:35" x14ac:dyDescent="0.25">
      <c r="AH368" s="6" t="s">
        <v>972</v>
      </c>
      <c r="AI368">
        <v>32943.935000000005</v>
      </c>
    </row>
    <row r="369" spans="34:35" x14ac:dyDescent="0.25">
      <c r="AH369" s="6" t="s">
        <v>971</v>
      </c>
      <c r="AI369">
        <v>6</v>
      </c>
    </row>
    <row r="370" spans="34:35" x14ac:dyDescent="0.25">
      <c r="AH370" s="6" t="s">
        <v>7</v>
      </c>
    </row>
    <row r="371" spans="34:35" x14ac:dyDescent="0.25">
      <c r="AH371" s="7" t="s">
        <v>39</v>
      </c>
      <c r="AI371">
        <v>38717.9</v>
      </c>
    </row>
    <row r="372" spans="34:35" x14ac:dyDescent="0.25">
      <c r="AH372" s="7" t="s">
        <v>181</v>
      </c>
      <c r="AI372">
        <v>87450</v>
      </c>
    </row>
    <row r="373" spans="34:35" x14ac:dyDescent="0.25">
      <c r="AH373" s="7" t="s">
        <v>365</v>
      </c>
      <c r="AI373">
        <v>33525.82</v>
      </c>
    </row>
    <row r="374" spans="34:35" x14ac:dyDescent="0.25">
      <c r="AH374" s="7" t="s">
        <v>159</v>
      </c>
      <c r="AI374">
        <v>86567.11</v>
      </c>
    </row>
    <row r="375" spans="34:35" x14ac:dyDescent="0.25">
      <c r="AH375" s="6" t="s">
        <v>973</v>
      </c>
      <c r="AI375">
        <v>246260.83000000002</v>
      </c>
    </row>
    <row r="376" spans="34:35" x14ac:dyDescent="0.25">
      <c r="AH376" s="6" t="s">
        <v>974</v>
      </c>
      <c r="AI376">
        <v>4</v>
      </c>
    </row>
    <row r="377" spans="34:35" x14ac:dyDescent="0.25">
      <c r="AH377" s="6" t="s">
        <v>975</v>
      </c>
      <c r="AI377">
        <v>61565.207500000004</v>
      </c>
    </row>
    <row r="378" spans="34:35" x14ac:dyDescent="0.25">
      <c r="AH378" s="6" t="s">
        <v>974</v>
      </c>
      <c r="AI378">
        <v>4</v>
      </c>
    </row>
    <row r="379" spans="34:35" x14ac:dyDescent="0.25">
      <c r="AH379" s="6" t="s">
        <v>854</v>
      </c>
      <c r="AI379">
        <v>8996331.0900000036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E165B-A037-41B6-9225-08606B2DEB60}">
  <dimension ref="A1:ATZ209"/>
  <sheetViews>
    <sheetView workbookViewId="0">
      <selection activeCell="A5" sqref="A5"/>
    </sheetView>
  </sheetViews>
  <sheetFormatPr defaultRowHeight="15" x14ac:dyDescent="0.25"/>
  <cols>
    <col min="2" max="2" width="18.140625" bestFit="1" customWidth="1"/>
    <col min="3" max="3" width="16.85546875" bestFit="1" customWidth="1"/>
    <col min="4" max="4" width="9" bestFit="1" customWidth="1"/>
    <col min="5" max="5" width="9.7109375" bestFit="1" customWidth="1"/>
    <col min="6" max="6" width="23" customWidth="1"/>
    <col min="7" max="7" width="9" bestFit="1" customWidth="1"/>
    <col min="8" max="8" width="23.7109375" customWidth="1"/>
    <col min="9" max="9" width="13.85546875" bestFit="1" customWidth="1"/>
    <col min="10" max="10" width="17" bestFit="1" customWidth="1"/>
    <col min="11" max="11" width="14.5703125" bestFit="1" customWidth="1"/>
    <col min="12" max="12" width="9.140625" bestFit="1" customWidth="1"/>
    <col min="13" max="13" width="9.7109375" bestFit="1" customWidth="1"/>
    <col min="14" max="14" width="11" bestFit="1" customWidth="1"/>
    <col min="15" max="15" width="9" bestFit="1" customWidth="1"/>
    <col min="16" max="16" width="11" bestFit="1" customWidth="1"/>
    <col min="17" max="17" width="17.42578125" bestFit="1" customWidth="1"/>
    <col min="18" max="18" width="20.5703125" bestFit="1" customWidth="1"/>
    <col min="19" max="19" width="14.42578125" bestFit="1" customWidth="1"/>
    <col min="20" max="20" width="9.7109375" bestFit="1" customWidth="1"/>
    <col min="21" max="21" width="11" bestFit="1" customWidth="1"/>
    <col min="22" max="22" width="9" bestFit="1" customWidth="1"/>
    <col min="23" max="23" width="11" bestFit="1" customWidth="1"/>
    <col min="24" max="24" width="17.28515625" bestFit="1" customWidth="1"/>
    <col min="25" max="25" width="20.42578125" bestFit="1" customWidth="1"/>
    <col min="26" max="26" width="9" bestFit="1" customWidth="1"/>
    <col min="27" max="27" width="11" bestFit="1" customWidth="1"/>
    <col min="28" max="28" width="9" bestFit="1" customWidth="1"/>
    <col min="29" max="29" width="11" bestFit="1" customWidth="1"/>
    <col min="30" max="30" width="10.85546875" bestFit="1" customWidth="1"/>
    <col min="31" max="31" width="14.140625" bestFit="1" customWidth="1"/>
    <col min="32" max="32" width="16.28515625" bestFit="1" customWidth="1"/>
    <col min="33" max="33" width="19" bestFit="1" customWidth="1"/>
    <col min="34" max="34" width="22.28515625" bestFit="1" customWidth="1"/>
    <col min="35" max="35" width="13.85546875" bestFit="1" customWidth="1"/>
    <col min="36" max="36" width="9.140625" bestFit="1" customWidth="1"/>
    <col min="37" max="37" width="9.7109375" bestFit="1" customWidth="1"/>
    <col min="38" max="38" width="11" bestFit="1" customWidth="1"/>
    <col min="39" max="39" width="9" bestFit="1" customWidth="1"/>
    <col min="40" max="40" width="11" bestFit="1" customWidth="1"/>
    <col min="41" max="41" width="9.85546875" bestFit="1" customWidth="1"/>
    <col min="42" max="42" width="13.140625" bestFit="1" customWidth="1"/>
    <col min="43" max="43" width="12.7109375" bestFit="1" customWidth="1"/>
    <col min="44" max="44" width="9.7109375" bestFit="1" customWidth="1"/>
    <col min="45" max="45" width="11" bestFit="1" customWidth="1"/>
    <col min="46" max="46" width="9" bestFit="1" customWidth="1"/>
    <col min="47" max="47" width="11" bestFit="1" customWidth="1"/>
    <col min="48" max="48" width="15.42578125" bestFit="1" customWidth="1"/>
    <col min="49" max="49" width="18.7109375" bestFit="1" customWidth="1"/>
    <col min="50" max="50" width="10.42578125" bestFit="1" customWidth="1"/>
    <col min="51" max="51" width="9.140625" bestFit="1" customWidth="1"/>
    <col min="52" max="52" width="9.7109375" bestFit="1" customWidth="1"/>
    <col min="53" max="53" width="11" bestFit="1" customWidth="1"/>
    <col min="54" max="54" width="9" bestFit="1" customWidth="1"/>
    <col min="55" max="55" width="11" bestFit="1" customWidth="1"/>
    <col min="56" max="56" width="11.42578125" bestFit="1" customWidth="1"/>
    <col min="57" max="57" width="14.7109375" bestFit="1" customWidth="1"/>
    <col min="58" max="58" width="18.5703125" bestFit="1" customWidth="1"/>
    <col min="59" max="59" width="9.7109375" bestFit="1" customWidth="1"/>
    <col min="60" max="60" width="11" bestFit="1" customWidth="1"/>
    <col min="61" max="61" width="9" bestFit="1" customWidth="1"/>
    <col min="62" max="62" width="11" bestFit="1" customWidth="1"/>
    <col min="63" max="63" width="21.42578125" bestFit="1" customWidth="1"/>
    <col min="64" max="64" width="24.5703125" bestFit="1" customWidth="1"/>
    <col min="65" max="65" width="16.5703125" bestFit="1" customWidth="1"/>
    <col min="66" max="66" width="9.7109375" bestFit="1" customWidth="1"/>
    <col min="67" max="67" width="11" bestFit="1" customWidth="1"/>
    <col min="68" max="68" width="9" bestFit="1" customWidth="1"/>
    <col min="69" max="69" width="11" bestFit="1" customWidth="1"/>
    <col min="70" max="70" width="19.28515625" bestFit="1" customWidth="1"/>
    <col min="71" max="71" width="22.5703125" bestFit="1" customWidth="1"/>
    <col min="72" max="72" width="20" bestFit="1" customWidth="1"/>
    <col min="73" max="73" width="22.7109375" bestFit="1" customWidth="1"/>
    <col min="74" max="74" width="26" bestFit="1" customWidth="1"/>
    <col min="75" max="75" width="15.85546875" bestFit="1" customWidth="1"/>
    <col min="76" max="76" width="9.7109375" bestFit="1" customWidth="1"/>
    <col min="77" max="77" width="11" bestFit="1" customWidth="1"/>
    <col min="78" max="78" width="9" bestFit="1" customWidth="1"/>
    <col min="79" max="79" width="11" bestFit="1" customWidth="1"/>
    <col min="80" max="80" width="18.5703125" bestFit="1" customWidth="1"/>
    <col min="81" max="81" width="21.85546875" bestFit="1" customWidth="1"/>
    <col min="82" max="82" width="12.140625" bestFit="1" customWidth="1"/>
    <col min="83" max="83" width="10.42578125" bestFit="1" customWidth="1"/>
    <col min="84" max="84" width="8.28515625" bestFit="1" customWidth="1"/>
    <col min="85" max="85" width="9.7109375" bestFit="1" customWidth="1"/>
    <col min="86" max="86" width="11" bestFit="1" customWidth="1"/>
    <col min="87" max="87" width="9" bestFit="1" customWidth="1"/>
    <col min="88" max="88" width="11" bestFit="1" customWidth="1"/>
    <col min="89" max="89" width="11.85546875" bestFit="1" customWidth="1"/>
    <col min="90" max="90" width="15.140625" bestFit="1" customWidth="1"/>
    <col min="91" max="91" width="13.42578125" bestFit="1" customWidth="1"/>
    <col min="92" max="92" width="11" bestFit="1" customWidth="1"/>
    <col min="93" max="93" width="9" bestFit="1" customWidth="1"/>
    <col min="94" max="94" width="11" bestFit="1" customWidth="1"/>
    <col min="95" max="95" width="16.140625" bestFit="1" customWidth="1"/>
    <col min="96" max="96" width="19.42578125" bestFit="1" customWidth="1"/>
    <col min="97" max="97" width="10.5703125" bestFit="1" customWidth="1"/>
    <col min="98" max="98" width="11" bestFit="1" customWidth="1"/>
    <col min="99" max="99" width="9" bestFit="1" customWidth="1"/>
    <col min="100" max="100" width="11" bestFit="1" customWidth="1"/>
    <col min="101" max="101" width="13.28515625" bestFit="1" customWidth="1"/>
    <col min="102" max="102" width="16.42578125" bestFit="1" customWidth="1"/>
    <col min="103" max="103" width="21.85546875" bestFit="1" customWidth="1"/>
    <col min="104" max="104" width="9.7109375" bestFit="1" customWidth="1"/>
    <col min="105" max="105" width="11" bestFit="1" customWidth="1"/>
    <col min="106" max="106" width="9" bestFit="1" customWidth="1"/>
    <col min="107" max="107" width="11" bestFit="1" customWidth="1"/>
    <col min="108" max="108" width="24.5703125" bestFit="1" customWidth="1"/>
    <col min="109" max="109" width="27.85546875" bestFit="1" customWidth="1"/>
    <col min="110" max="110" width="11.140625" bestFit="1" customWidth="1"/>
    <col min="111" max="111" width="9" bestFit="1" customWidth="1"/>
    <col min="112" max="112" width="9.7109375" bestFit="1" customWidth="1"/>
    <col min="113" max="113" width="11" bestFit="1" customWidth="1"/>
    <col min="114" max="114" width="9" bestFit="1" customWidth="1"/>
    <col min="115" max="115" width="11" bestFit="1" customWidth="1"/>
    <col min="116" max="116" width="13.85546875" bestFit="1" customWidth="1"/>
    <col min="117" max="117" width="17" bestFit="1" customWidth="1"/>
    <col min="118" max="118" width="12" bestFit="1" customWidth="1"/>
    <col min="119" max="119" width="9.7109375" bestFit="1" customWidth="1"/>
    <col min="120" max="120" width="11" bestFit="1" customWidth="1"/>
    <col min="121" max="121" width="9" bestFit="1" customWidth="1"/>
    <col min="122" max="122" width="11" bestFit="1" customWidth="1"/>
    <col min="123" max="123" width="14.7109375" bestFit="1" customWidth="1"/>
    <col min="124" max="124" width="18" bestFit="1" customWidth="1"/>
    <col min="125" max="125" width="13.28515625" bestFit="1" customWidth="1"/>
    <col min="126" max="126" width="13.42578125" bestFit="1" customWidth="1"/>
    <col min="127" max="127" width="16.140625" bestFit="1" customWidth="1"/>
    <col min="128" max="128" width="19.42578125" bestFit="1" customWidth="1"/>
    <col min="129" max="129" width="10.28515625" bestFit="1" customWidth="1"/>
    <col min="130" max="130" width="9.7109375" bestFit="1" customWidth="1"/>
    <col min="131" max="131" width="11" bestFit="1" customWidth="1"/>
    <col min="132" max="132" width="9" bestFit="1" customWidth="1"/>
    <col min="133" max="133" width="11" bestFit="1" customWidth="1"/>
    <col min="134" max="134" width="12.85546875" bestFit="1" customWidth="1"/>
    <col min="135" max="135" width="16.140625" bestFit="1" customWidth="1"/>
    <col min="136" max="136" width="10.7109375" bestFit="1" customWidth="1"/>
    <col min="137" max="137" width="19.85546875" bestFit="1" customWidth="1"/>
    <col min="138" max="138" width="11" bestFit="1" customWidth="1"/>
    <col min="139" max="139" width="9" bestFit="1" customWidth="1"/>
    <col min="140" max="140" width="11" bestFit="1" customWidth="1"/>
    <col min="141" max="141" width="22.5703125" bestFit="1" customWidth="1"/>
    <col min="142" max="142" width="25.85546875" bestFit="1" customWidth="1"/>
    <col min="143" max="143" width="10.42578125" bestFit="1" customWidth="1"/>
    <col min="144" max="144" width="9.7109375" bestFit="1" customWidth="1"/>
    <col min="145" max="145" width="11" bestFit="1" customWidth="1"/>
    <col min="146" max="146" width="9" bestFit="1" customWidth="1"/>
    <col min="147" max="147" width="11" bestFit="1" customWidth="1"/>
    <col min="148" max="148" width="13.140625" bestFit="1" customWidth="1"/>
    <col min="149" max="149" width="16.28515625" bestFit="1" customWidth="1"/>
    <col min="150" max="150" width="10.42578125" bestFit="1" customWidth="1"/>
    <col min="151" max="151" width="9" bestFit="1" customWidth="1"/>
    <col min="152" max="152" width="9.7109375" bestFit="1" customWidth="1"/>
    <col min="153" max="153" width="11" bestFit="1" customWidth="1"/>
    <col min="154" max="154" width="9" bestFit="1" customWidth="1"/>
    <col min="155" max="155" width="11" bestFit="1" customWidth="1"/>
    <col min="156" max="156" width="10" bestFit="1" customWidth="1"/>
    <col min="157" max="157" width="13.28515625" bestFit="1" customWidth="1"/>
    <col min="158" max="158" width="10.7109375" bestFit="1" customWidth="1"/>
    <col min="159" max="159" width="13.42578125" bestFit="1" customWidth="1"/>
    <col min="160" max="160" width="16.5703125" bestFit="1" customWidth="1"/>
    <col min="161" max="161" width="12.85546875" bestFit="1" customWidth="1"/>
    <col min="162" max="162" width="15.5703125" bestFit="1" customWidth="1"/>
    <col min="163" max="163" width="18.85546875" bestFit="1" customWidth="1"/>
    <col min="164" max="164" width="16.5703125" bestFit="1" customWidth="1"/>
    <col min="165" max="165" width="19.28515625" bestFit="1" customWidth="1"/>
    <col min="166" max="166" width="22.5703125" bestFit="1" customWidth="1"/>
    <col min="167" max="167" width="11.28515625" bestFit="1" customWidth="1"/>
    <col min="168" max="168" width="9.7109375" bestFit="1" customWidth="1"/>
    <col min="169" max="169" width="11" bestFit="1" customWidth="1"/>
    <col min="170" max="170" width="9" bestFit="1" customWidth="1"/>
    <col min="171" max="171" width="11" bestFit="1" customWidth="1"/>
    <col min="172" max="172" width="14" bestFit="1" customWidth="1"/>
    <col min="173" max="173" width="17.28515625" bestFit="1" customWidth="1"/>
    <col min="174" max="174" width="17.85546875" bestFit="1" customWidth="1"/>
    <col min="175" max="175" width="11" bestFit="1" customWidth="1"/>
    <col min="176" max="176" width="9" bestFit="1" customWidth="1"/>
    <col min="177" max="177" width="11" bestFit="1" customWidth="1"/>
    <col min="178" max="178" width="20.5703125" bestFit="1" customWidth="1"/>
    <col min="179" max="179" width="23.85546875" bestFit="1" customWidth="1"/>
    <col min="180" max="180" width="12.5703125" bestFit="1" customWidth="1"/>
    <col min="181" max="181" width="11.5703125" bestFit="1" customWidth="1"/>
    <col min="182" max="182" width="9.140625" bestFit="1" customWidth="1"/>
    <col min="183" max="183" width="9.7109375" bestFit="1" customWidth="1"/>
    <col min="184" max="184" width="11" bestFit="1" customWidth="1"/>
    <col min="185" max="185" width="9" bestFit="1" customWidth="1"/>
    <col min="186" max="186" width="11" bestFit="1" customWidth="1"/>
    <col min="187" max="187" width="14.28515625" bestFit="1" customWidth="1"/>
    <col min="188" max="188" width="17.5703125" bestFit="1" customWidth="1"/>
    <col min="189" max="189" width="9" bestFit="1" customWidth="1"/>
    <col min="190" max="190" width="11" bestFit="1" customWidth="1"/>
    <col min="191" max="191" width="9" bestFit="1" customWidth="1"/>
    <col min="192" max="192" width="11" bestFit="1" customWidth="1"/>
    <col min="193" max="193" width="9.140625" bestFit="1" customWidth="1"/>
    <col min="194" max="194" width="12.28515625" bestFit="1" customWidth="1"/>
    <col min="195" max="195" width="10.7109375" bestFit="1" customWidth="1"/>
    <col min="196" max="196" width="17.42578125" bestFit="1" customWidth="1"/>
    <col min="197" max="197" width="11" bestFit="1" customWidth="1"/>
    <col min="198" max="198" width="9" bestFit="1" customWidth="1"/>
    <col min="199" max="199" width="11" bestFit="1" customWidth="1"/>
    <col min="200" max="200" width="20.140625" bestFit="1" customWidth="1"/>
    <col min="201" max="201" width="23.42578125" bestFit="1" customWidth="1"/>
    <col min="202" max="202" width="13.7109375" bestFit="1" customWidth="1"/>
    <col min="203" max="203" width="16.42578125" bestFit="1" customWidth="1"/>
    <col min="204" max="204" width="19.7109375" bestFit="1" customWidth="1"/>
    <col min="205" max="205" width="11.140625" bestFit="1" customWidth="1"/>
    <col min="206" max="206" width="12.28515625" bestFit="1" customWidth="1"/>
    <col min="207" max="207" width="11" bestFit="1" customWidth="1"/>
    <col min="208" max="208" width="9" bestFit="1" customWidth="1"/>
    <col min="209" max="209" width="11" bestFit="1" customWidth="1"/>
    <col min="210" max="210" width="15" bestFit="1" customWidth="1"/>
    <col min="211" max="211" width="18.28515625" bestFit="1" customWidth="1"/>
    <col min="212" max="212" width="20.85546875" bestFit="1" customWidth="1"/>
    <col min="213" max="213" width="11" bestFit="1" customWidth="1"/>
    <col min="214" max="214" width="9" bestFit="1" customWidth="1"/>
    <col min="215" max="215" width="11" bestFit="1" customWidth="1"/>
    <col min="216" max="216" width="23.5703125" bestFit="1" customWidth="1"/>
    <col min="217" max="217" width="26.85546875" bestFit="1" customWidth="1"/>
    <col min="218" max="218" width="11.140625" bestFit="1" customWidth="1"/>
    <col min="219" max="219" width="13.85546875" bestFit="1" customWidth="1"/>
    <col min="220" max="220" width="17" bestFit="1" customWidth="1"/>
    <col min="221" max="221" width="14.7109375" bestFit="1" customWidth="1"/>
    <col min="222" max="222" width="23.28515625" bestFit="1" customWidth="1"/>
    <col min="223" max="223" width="9.7109375" bestFit="1" customWidth="1"/>
    <col min="224" max="224" width="11" bestFit="1" customWidth="1"/>
    <col min="225" max="225" width="9" bestFit="1" customWidth="1"/>
    <col min="226" max="226" width="11" bestFit="1" customWidth="1"/>
    <col min="227" max="227" width="26" bestFit="1" customWidth="1"/>
    <col min="228" max="228" width="29.140625" bestFit="1" customWidth="1"/>
    <col min="229" max="229" width="14.7109375" bestFit="1" customWidth="1"/>
    <col min="230" max="230" width="9.7109375" bestFit="1" customWidth="1"/>
    <col min="231" max="231" width="11" bestFit="1" customWidth="1"/>
    <col min="232" max="232" width="9" bestFit="1" customWidth="1"/>
    <col min="233" max="233" width="11" bestFit="1" customWidth="1"/>
    <col min="234" max="234" width="17.5703125" bestFit="1" customWidth="1"/>
    <col min="235" max="235" width="20.7109375" bestFit="1" customWidth="1"/>
    <col min="236" max="236" width="16" bestFit="1" customWidth="1"/>
    <col min="237" max="237" width="11" bestFit="1" customWidth="1"/>
    <col min="238" max="238" width="9" bestFit="1" customWidth="1"/>
    <col min="239" max="239" width="11" bestFit="1" customWidth="1"/>
    <col min="240" max="240" width="18.7109375" bestFit="1" customWidth="1"/>
    <col min="241" max="241" width="22" bestFit="1" customWidth="1"/>
    <col min="242" max="242" width="21.28515625" bestFit="1" customWidth="1"/>
    <col min="243" max="243" width="24" bestFit="1" customWidth="1"/>
    <col min="244" max="244" width="27.28515625" bestFit="1" customWidth="1"/>
    <col min="245" max="245" width="15.5703125" bestFit="1" customWidth="1"/>
    <col min="246" max="246" width="9.28515625" bestFit="1" customWidth="1"/>
    <col min="247" max="247" width="11" bestFit="1" customWidth="1"/>
    <col min="248" max="248" width="9" bestFit="1" customWidth="1"/>
    <col min="249" max="249" width="11" bestFit="1" customWidth="1"/>
    <col min="250" max="250" width="11.85546875" bestFit="1" customWidth="1"/>
    <col min="251" max="251" width="15.140625" bestFit="1" customWidth="1"/>
    <col min="252" max="252" width="16.85546875" bestFit="1" customWidth="1"/>
    <col min="253" max="253" width="11" bestFit="1" customWidth="1"/>
    <col min="254" max="254" width="9" bestFit="1" customWidth="1"/>
    <col min="255" max="255" width="11" bestFit="1" customWidth="1"/>
    <col min="256" max="256" width="19.5703125" bestFit="1" customWidth="1"/>
    <col min="257" max="257" width="22.85546875" bestFit="1" customWidth="1"/>
    <col min="258" max="258" width="14.7109375" bestFit="1" customWidth="1"/>
    <col min="259" max="259" width="9" bestFit="1" customWidth="1"/>
    <col min="260" max="260" width="9.7109375" bestFit="1" customWidth="1"/>
    <col min="261" max="261" width="11" bestFit="1" customWidth="1"/>
    <col min="262" max="262" width="9" bestFit="1" customWidth="1"/>
    <col min="263" max="263" width="11" bestFit="1" customWidth="1"/>
    <col min="264" max="264" width="17.5703125" bestFit="1" customWidth="1"/>
    <col min="265" max="265" width="20.7109375" bestFit="1" customWidth="1"/>
    <col min="266" max="266" width="8" bestFit="1" customWidth="1"/>
    <col min="267" max="267" width="11" bestFit="1" customWidth="1"/>
    <col min="268" max="268" width="9" bestFit="1" customWidth="1"/>
    <col min="269" max="269" width="11" bestFit="1" customWidth="1"/>
    <col min="270" max="270" width="10.140625" bestFit="1" customWidth="1"/>
    <col min="271" max="271" width="13.42578125" bestFit="1" customWidth="1"/>
    <col min="272" max="272" width="11.85546875" bestFit="1" customWidth="1"/>
    <col min="273" max="273" width="20.85546875" bestFit="1" customWidth="1"/>
    <col min="274" max="274" width="9.7109375" bestFit="1" customWidth="1"/>
    <col min="275" max="275" width="11" bestFit="1" customWidth="1"/>
    <col min="276" max="276" width="9" bestFit="1" customWidth="1"/>
    <col min="277" max="277" width="11" bestFit="1" customWidth="1"/>
    <col min="278" max="278" width="23.5703125" bestFit="1" customWidth="1"/>
    <col min="279" max="279" width="26.85546875" bestFit="1" customWidth="1"/>
    <col min="280" max="280" width="22.85546875" bestFit="1" customWidth="1"/>
    <col min="281" max="281" width="9.7109375" bestFit="1" customWidth="1"/>
    <col min="282" max="282" width="11" bestFit="1" customWidth="1"/>
    <col min="283" max="283" width="9" bestFit="1" customWidth="1"/>
    <col min="284" max="284" width="11" bestFit="1" customWidth="1"/>
    <col min="285" max="285" width="25.7109375" bestFit="1" customWidth="1"/>
    <col min="286" max="286" width="28.85546875" bestFit="1" customWidth="1"/>
    <col min="287" max="287" width="9.42578125" bestFit="1" customWidth="1"/>
    <col min="288" max="288" width="12" bestFit="1" customWidth="1"/>
    <col min="289" max="289" width="15.28515625" bestFit="1" customWidth="1"/>
    <col min="290" max="290" width="11.5703125" bestFit="1" customWidth="1"/>
    <col min="291" max="291" width="9.7109375" bestFit="1" customWidth="1"/>
    <col min="292" max="292" width="11" bestFit="1" customWidth="1"/>
    <col min="293" max="293" width="9" bestFit="1" customWidth="1"/>
    <col min="294" max="294" width="11" bestFit="1" customWidth="1"/>
    <col min="295" max="295" width="14.28515625" bestFit="1" customWidth="1"/>
    <col min="296" max="296" width="17.5703125" bestFit="1" customWidth="1"/>
    <col min="297" max="297" width="23.28515625" bestFit="1" customWidth="1"/>
    <col min="298" max="298" width="11" bestFit="1" customWidth="1"/>
    <col min="299" max="299" width="9" bestFit="1" customWidth="1"/>
    <col min="300" max="300" width="11" bestFit="1" customWidth="1"/>
    <col min="301" max="301" width="26" bestFit="1" customWidth="1"/>
    <col min="302" max="302" width="29.140625" bestFit="1" customWidth="1"/>
    <col min="303" max="303" width="21.28515625" bestFit="1" customWidth="1"/>
    <col min="304" max="304" width="11" bestFit="1" customWidth="1"/>
    <col min="305" max="305" width="9" bestFit="1" customWidth="1"/>
    <col min="306" max="306" width="11" bestFit="1" customWidth="1"/>
    <col min="307" max="307" width="24" bestFit="1" customWidth="1"/>
    <col min="308" max="308" width="27.28515625" bestFit="1" customWidth="1"/>
    <col min="309" max="309" width="14.140625" bestFit="1" customWidth="1"/>
    <col min="310" max="310" width="10.42578125" bestFit="1" customWidth="1"/>
    <col min="311" max="311" width="9" bestFit="1" customWidth="1"/>
    <col min="312" max="312" width="9.7109375" bestFit="1" customWidth="1"/>
    <col min="313" max="313" width="11" bestFit="1" customWidth="1"/>
    <col min="314" max="314" width="9" bestFit="1" customWidth="1"/>
    <col min="315" max="315" width="11" bestFit="1" customWidth="1"/>
    <col min="316" max="316" width="11.85546875" bestFit="1" customWidth="1"/>
    <col min="317" max="317" width="15.140625" bestFit="1" customWidth="1"/>
    <col min="318" max="318" width="13.85546875" bestFit="1" customWidth="1"/>
    <col min="319" max="319" width="9.7109375" bestFit="1" customWidth="1"/>
    <col min="320" max="320" width="11" bestFit="1" customWidth="1"/>
    <col min="321" max="321" width="9" bestFit="1" customWidth="1"/>
    <col min="322" max="322" width="11" bestFit="1" customWidth="1"/>
    <col min="323" max="323" width="16.5703125" bestFit="1" customWidth="1"/>
    <col min="324" max="324" width="19.85546875" bestFit="1" customWidth="1"/>
    <col min="325" max="325" width="9" bestFit="1" customWidth="1"/>
    <col min="326" max="326" width="9.7109375" bestFit="1" customWidth="1"/>
    <col min="327" max="327" width="11" bestFit="1" customWidth="1"/>
    <col min="328" max="328" width="9" bestFit="1" customWidth="1"/>
    <col min="329" max="329" width="11" bestFit="1" customWidth="1"/>
    <col min="330" max="330" width="11.5703125" bestFit="1" customWidth="1"/>
    <col min="331" max="331" width="14.85546875" bestFit="1" customWidth="1"/>
    <col min="332" max="332" width="12.5703125" bestFit="1" customWidth="1"/>
    <col min="333" max="333" width="11" bestFit="1" customWidth="1"/>
    <col min="334" max="334" width="9" bestFit="1" customWidth="1"/>
    <col min="335" max="335" width="11" bestFit="1" customWidth="1"/>
    <col min="336" max="336" width="15.28515625" bestFit="1" customWidth="1"/>
    <col min="337" max="337" width="18.5703125" bestFit="1" customWidth="1"/>
    <col min="338" max="338" width="11" bestFit="1" customWidth="1"/>
    <col min="339" max="339" width="13.7109375" bestFit="1" customWidth="1"/>
    <col min="340" max="340" width="16.85546875" bestFit="1" customWidth="1"/>
    <col min="341" max="341" width="16.5703125" bestFit="1" customWidth="1"/>
    <col min="342" max="342" width="9.7109375" bestFit="1" customWidth="1"/>
    <col min="343" max="343" width="11" bestFit="1" customWidth="1"/>
    <col min="344" max="344" width="9" bestFit="1" customWidth="1"/>
    <col min="345" max="345" width="11" bestFit="1" customWidth="1"/>
    <col min="346" max="346" width="19.28515625" bestFit="1" customWidth="1"/>
    <col min="347" max="347" width="22.5703125" bestFit="1" customWidth="1"/>
    <col min="348" max="348" width="20.7109375" bestFit="1" customWidth="1"/>
    <col min="349" max="349" width="9" bestFit="1" customWidth="1"/>
    <col min="350" max="350" width="9.7109375" bestFit="1" customWidth="1"/>
    <col min="351" max="351" width="11" bestFit="1" customWidth="1"/>
    <col min="352" max="352" width="9" bestFit="1" customWidth="1"/>
    <col min="353" max="353" width="11" bestFit="1" customWidth="1"/>
    <col min="354" max="354" width="23.42578125" bestFit="1" customWidth="1"/>
    <col min="355" max="355" width="26.7109375" bestFit="1" customWidth="1"/>
    <col min="356" max="356" width="25" bestFit="1" customWidth="1"/>
    <col min="357" max="357" width="8.28515625" bestFit="1" customWidth="1"/>
    <col min="358" max="358" width="9.7109375" bestFit="1" customWidth="1"/>
    <col min="359" max="359" width="11" bestFit="1" customWidth="1"/>
    <col min="360" max="360" width="9" bestFit="1" customWidth="1"/>
    <col min="361" max="361" width="11" bestFit="1" customWidth="1"/>
    <col min="362" max="362" width="27.7109375" bestFit="1" customWidth="1"/>
    <col min="363" max="363" width="31" bestFit="1" customWidth="1"/>
    <col min="364" max="364" width="10.28515625" bestFit="1" customWidth="1"/>
    <col min="365" max="365" width="12.42578125" bestFit="1" customWidth="1"/>
    <col min="366" max="366" width="9.7109375" bestFit="1" customWidth="1"/>
    <col min="367" max="367" width="11" bestFit="1" customWidth="1"/>
    <col min="368" max="368" width="9" bestFit="1" customWidth="1"/>
    <col min="369" max="369" width="11" bestFit="1" customWidth="1"/>
    <col min="370" max="370" width="15.140625" bestFit="1" customWidth="1"/>
    <col min="371" max="371" width="18.42578125" bestFit="1" customWidth="1"/>
    <col min="372" max="372" width="9" bestFit="1" customWidth="1"/>
    <col min="373" max="373" width="9.7109375" bestFit="1" customWidth="1"/>
    <col min="374" max="374" width="12.85546875" bestFit="1" customWidth="1"/>
    <col min="375" max="375" width="16" bestFit="1" customWidth="1"/>
    <col min="376" max="376" width="11" bestFit="1" customWidth="1"/>
    <col min="377" max="377" width="9" bestFit="1" customWidth="1"/>
    <col min="378" max="378" width="11" bestFit="1" customWidth="1"/>
    <col min="379" max="379" width="18.7109375" bestFit="1" customWidth="1"/>
    <col min="380" max="380" width="22" bestFit="1" customWidth="1"/>
    <col min="381" max="381" width="16.7109375" bestFit="1" customWidth="1"/>
    <col min="382" max="382" width="11" bestFit="1" customWidth="1"/>
    <col min="383" max="383" width="9" bestFit="1" customWidth="1"/>
    <col min="384" max="384" width="11" bestFit="1" customWidth="1"/>
    <col min="385" max="385" width="19.42578125" bestFit="1" customWidth="1"/>
    <col min="386" max="386" width="22.7109375" bestFit="1" customWidth="1"/>
    <col min="387" max="387" width="12.140625" bestFit="1" customWidth="1"/>
    <col min="388" max="388" width="9.7109375" bestFit="1" customWidth="1"/>
    <col min="389" max="389" width="11" bestFit="1" customWidth="1"/>
    <col min="390" max="390" width="9" bestFit="1" customWidth="1"/>
    <col min="391" max="391" width="11" bestFit="1" customWidth="1"/>
    <col min="392" max="392" width="14.85546875" bestFit="1" customWidth="1"/>
    <col min="393" max="393" width="18.140625" bestFit="1" customWidth="1"/>
    <col min="394" max="394" width="14.85546875" bestFit="1" customWidth="1"/>
    <col min="395" max="395" width="27.42578125" bestFit="1" customWidth="1"/>
    <col min="396" max="396" width="11" bestFit="1" customWidth="1"/>
    <col min="397" max="397" width="9" bestFit="1" customWidth="1"/>
    <col min="398" max="398" width="11" bestFit="1" customWidth="1"/>
    <col min="399" max="399" width="30.140625" bestFit="1" customWidth="1"/>
    <col min="400" max="400" width="33.28515625" bestFit="1" customWidth="1"/>
    <col min="401" max="401" width="10.85546875" bestFit="1" customWidth="1"/>
    <col min="402" max="402" width="11" bestFit="1" customWidth="1"/>
    <col min="403" max="403" width="9" bestFit="1" customWidth="1"/>
    <col min="404" max="404" width="11" bestFit="1" customWidth="1"/>
    <col min="405" max="405" width="13.5703125" bestFit="1" customWidth="1"/>
    <col min="406" max="406" width="16.7109375" bestFit="1" customWidth="1"/>
    <col min="407" max="407" width="10.85546875" bestFit="1" customWidth="1"/>
    <col min="408" max="408" width="9.7109375" bestFit="1" customWidth="1"/>
    <col min="409" max="409" width="11" bestFit="1" customWidth="1"/>
    <col min="410" max="410" width="9" bestFit="1" customWidth="1"/>
    <col min="411" max="411" width="11" bestFit="1" customWidth="1"/>
    <col min="412" max="412" width="13.5703125" bestFit="1" customWidth="1"/>
    <col min="413" max="413" width="16.7109375" bestFit="1" customWidth="1"/>
    <col min="414" max="414" width="15.28515625" bestFit="1" customWidth="1"/>
    <col min="415" max="415" width="18" bestFit="1" customWidth="1"/>
    <col min="416" max="416" width="21.140625" bestFit="1" customWidth="1"/>
    <col min="417" max="417" width="12.5703125" bestFit="1" customWidth="1"/>
    <col min="418" max="418" width="11" bestFit="1" customWidth="1"/>
    <col min="419" max="419" width="9" bestFit="1" customWidth="1"/>
    <col min="420" max="420" width="11" bestFit="1" customWidth="1"/>
    <col min="421" max="421" width="15.28515625" bestFit="1" customWidth="1"/>
    <col min="422" max="422" width="18.5703125" bestFit="1" customWidth="1"/>
    <col min="423" max="423" width="14.28515625" bestFit="1" customWidth="1"/>
    <col min="424" max="424" width="17" bestFit="1" customWidth="1"/>
    <col min="425" max="425" width="20.28515625" bestFit="1" customWidth="1"/>
    <col min="426" max="426" width="12.140625" bestFit="1" customWidth="1"/>
    <col min="427" max="427" width="11.140625" bestFit="1" customWidth="1"/>
    <col min="428" max="428" width="9.140625" bestFit="1" customWidth="1"/>
    <col min="429" max="429" width="9.7109375" bestFit="1" customWidth="1"/>
    <col min="430" max="430" width="11" bestFit="1" customWidth="1"/>
    <col min="431" max="431" width="9" bestFit="1" customWidth="1"/>
    <col min="432" max="432" width="11" bestFit="1" customWidth="1"/>
    <col min="433" max="433" width="13.85546875" bestFit="1" customWidth="1"/>
    <col min="434" max="434" width="17" bestFit="1" customWidth="1"/>
    <col min="435" max="435" width="8.85546875" bestFit="1" customWidth="1"/>
    <col min="436" max="436" width="11.42578125" bestFit="1" customWidth="1"/>
    <col min="437" max="437" width="14.7109375" bestFit="1" customWidth="1"/>
    <col min="438" max="438" width="10.28515625" bestFit="1" customWidth="1"/>
    <col min="439" max="439" width="12.85546875" bestFit="1" customWidth="1"/>
    <col min="440" max="440" width="16.140625" bestFit="1" customWidth="1"/>
    <col min="441" max="441" width="19.7109375" bestFit="1" customWidth="1"/>
    <col min="442" max="442" width="11" bestFit="1" customWidth="1"/>
    <col min="443" max="443" width="9" bestFit="1" customWidth="1"/>
    <col min="444" max="444" width="11" bestFit="1" customWidth="1"/>
    <col min="445" max="445" width="22.42578125" bestFit="1" customWidth="1"/>
    <col min="446" max="446" width="25.7109375" bestFit="1" customWidth="1"/>
    <col min="447" max="447" width="13.85546875" bestFit="1" customWidth="1"/>
    <col min="448" max="448" width="9.140625" bestFit="1" customWidth="1"/>
    <col min="449" max="449" width="9.7109375" bestFit="1" customWidth="1"/>
    <col min="450" max="450" width="11" bestFit="1" customWidth="1"/>
    <col min="451" max="451" width="9" bestFit="1" customWidth="1"/>
    <col min="452" max="452" width="11" bestFit="1" customWidth="1"/>
    <col min="453" max="453" width="16.5703125" bestFit="1" customWidth="1"/>
    <col min="454" max="454" width="19.85546875" bestFit="1" customWidth="1"/>
    <col min="455" max="455" width="12" bestFit="1" customWidth="1"/>
    <col min="456" max="456" width="14.7109375" bestFit="1" customWidth="1"/>
    <col min="457" max="457" width="18" bestFit="1" customWidth="1"/>
    <col min="458" max="458" width="20.5703125" bestFit="1" customWidth="1"/>
    <col min="459" max="459" width="11" bestFit="1" customWidth="1"/>
    <col min="460" max="460" width="9" bestFit="1" customWidth="1"/>
    <col min="461" max="461" width="11" bestFit="1" customWidth="1"/>
    <col min="462" max="462" width="23.28515625" bestFit="1" customWidth="1"/>
    <col min="463" max="463" width="26.5703125" bestFit="1" customWidth="1"/>
    <col min="464" max="464" width="15.85546875" bestFit="1" customWidth="1"/>
    <col min="465" max="465" width="9.7109375" bestFit="1" customWidth="1"/>
    <col min="466" max="466" width="11" bestFit="1" customWidth="1"/>
    <col min="467" max="467" width="9" bestFit="1" customWidth="1"/>
    <col min="468" max="468" width="11" bestFit="1" customWidth="1"/>
    <col min="469" max="469" width="18.5703125" bestFit="1" customWidth="1"/>
    <col min="470" max="470" width="21.85546875" bestFit="1" customWidth="1"/>
    <col min="471" max="471" width="10" bestFit="1" customWidth="1"/>
    <col min="472" max="472" width="27.42578125" bestFit="1" customWidth="1"/>
    <col min="473" max="473" width="30.140625" bestFit="1" customWidth="1"/>
    <col min="474" max="474" width="33.28515625" bestFit="1" customWidth="1"/>
    <col min="475" max="475" width="12.28515625" bestFit="1" customWidth="1"/>
    <col min="476" max="476" width="14.7109375" bestFit="1" customWidth="1"/>
    <col min="477" max="477" width="9.7109375" bestFit="1" customWidth="1"/>
    <col min="478" max="478" width="11" bestFit="1" customWidth="1"/>
    <col min="479" max="479" width="9" bestFit="1" customWidth="1"/>
    <col min="480" max="480" width="11" bestFit="1" customWidth="1"/>
    <col min="481" max="481" width="17.5703125" bestFit="1" customWidth="1"/>
    <col min="482" max="482" width="20.7109375" bestFit="1" customWidth="1"/>
    <col min="483" max="483" width="32.42578125" bestFit="1" customWidth="1"/>
    <col min="484" max="484" width="9.7109375" bestFit="1" customWidth="1"/>
    <col min="485" max="485" width="11" bestFit="1" customWidth="1"/>
    <col min="486" max="486" width="9" bestFit="1" customWidth="1"/>
    <col min="487" max="487" width="11" bestFit="1" customWidth="1"/>
    <col min="488" max="488" width="35.140625" bestFit="1" customWidth="1"/>
    <col min="489" max="489" width="38.42578125" bestFit="1" customWidth="1"/>
    <col min="490" max="490" width="11.5703125" bestFit="1" customWidth="1"/>
    <col min="491" max="491" width="11" bestFit="1" customWidth="1"/>
    <col min="492" max="492" width="9" bestFit="1" customWidth="1"/>
    <col min="493" max="493" width="11" bestFit="1" customWidth="1"/>
    <col min="494" max="494" width="14.28515625" bestFit="1" customWidth="1"/>
    <col min="495" max="495" width="17.5703125" bestFit="1" customWidth="1"/>
    <col min="496" max="496" width="15.28515625" bestFit="1" customWidth="1"/>
    <col min="497" max="497" width="11" bestFit="1" customWidth="1"/>
    <col min="498" max="498" width="9" bestFit="1" customWidth="1"/>
    <col min="499" max="499" width="11" bestFit="1" customWidth="1"/>
    <col min="500" max="500" width="18" bestFit="1" customWidth="1"/>
    <col min="501" max="501" width="21.140625" bestFit="1" customWidth="1"/>
    <col min="502" max="502" width="12" bestFit="1" customWidth="1"/>
    <col min="503" max="503" width="14.7109375" bestFit="1" customWidth="1"/>
    <col min="504" max="504" width="18" bestFit="1" customWidth="1"/>
    <col min="505" max="505" width="9.42578125" bestFit="1" customWidth="1"/>
    <col min="506" max="506" width="11" bestFit="1" customWidth="1"/>
    <col min="507" max="507" width="9" bestFit="1" customWidth="1"/>
    <col min="508" max="508" width="11" bestFit="1" customWidth="1"/>
    <col min="509" max="509" width="12" bestFit="1" customWidth="1"/>
    <col min="510" max="510" width="15.28515625" bestFit="1" customWidth="1"/>
    <col min="511" max="511" width="10.42578125" bestFit="1" customWidth="1"/>
    <col min="512" max="512" width="9.140625" bestFit="1" customWidth="1"/>
    <col min="513" max="513" width="9.7109375" bestFit="1" customWidth="1"/>
    <col min="514" max="514" width="11" bestFit="1" customWidth="1"/>
    <col min="515" max="515" width="9" bestFit="1" customWidth="1"/>
    <col min="516" max="516" width="11" bestFit="1" customWidth="1"/>
    <col min="517" max="517" width="10.85546875" bestFit="1" customWidth="1"/>
    <col min="518" max="518" width="14.140625" bestFit="1" customWidth="1"/>
    <col min="519" max="519" width="17" bestFit="1" customWidth="1"/>
    <col min="520" max="520" width="11" bestFit="1" customWidth="1"/>
    <col min="521" max="521" width="9" bestFit="1" customWidth="1"/>
    <col min="522" max="522" width="11" bestFit="1" customWidth="1"/>
    <col min="523" max="523" width="19.7109375" bestFit="1" customWidth="1"/>
    <col min="524" max="524" width="23" bestFit="1" customWidth="1"/>
    <col min="525" max="525" width="17.28515625" bestFit="1" customWidth="1"/>
    <col min="526" max="526" width="15.140625" bestFit="1" customWidth="1"/>
    <col min="527" max="527" width="17.85546875" bestFit="1" customWidth="1"/>
    <col min="528" max="528" width="21" bestFit="1" customWidth="1"/>
    <col min="529" max="529" width="17.5703125" bestFit="1" customWidth="1"/>
    <col min="530" max="530" width="16.140625" bestFit="1" customWidth="1"/>
    <col min="531" max="531" width="11" bestFit="1" customWidth="1"/>
    <col min="532" max="532" width="9" bestFit="1" customWidth="1"/>
    <col min="533" max="533" width="11" bestFit="1" customWidth="1"/>
    <col min="534" max="534" width="18.85546875" bestFit="1" customWidth="1"/>
    <col min="535" max="535" width="22.140625" bestFit="1" customWidth="1"/>
    <col min="536" max="536" width="11.140625" bestFit="1" customWidth="1"/>
    <col min="537" max="537" width="13.85546875" bestFit="1" customWidth="1"/>
    <col min="538" max="538" width="17" bestFit="1" customWidth="1"/>
    <col min="539" max="539" width="15.140625" bestFit="1" customWidth="1"/>
    <col min="540" max="540" width="9.140625" bestFit="1" customWidth="1"/>
    <col min="541" max="541" width="9.7109375" bestFit="1" customWidth="1"/>
    <col min="542" max="542" width="11" bestFit="1" customWidth="1"/>
    <col min="543" max="543" width="9" bestFit="1" customWidth="1"/>
    <col min="544" max="544" width="11" bestFit="1" customWidth="1"/>
    <col min="545" max="545" width="17.85546875" bestFit="1" customWidth="1"/>
    <col min="546" max="546" width="21" bestFit="1" customWidth="1"/>
    <col min="547" max="547" width="10.42578125" bestFit="1" customWidth="1"/>
    <col min="548" max="548" width="9.140625" bestFit="1" customWidth="1"/>
    <col min="549" max="549" width="9.7109375" bestFit="1" customWidth="1"/>
    <col min="550" max="550" width="11" bestFit="1" customWidth="1"/>
    <col min="551" max="551" width="9" bestFit="1" customWidth="1"/>
    <col min="552" max="553" width="11" bestFit="1" customWidth="1"/>
    <col min="554" max="554" width="14.28515625" bestFit="1" customWidth="1"/>
    <col min="555" max="555" width="12.28515625" bestFit="1" customWidth="1"/>
    <col min="556" max="556" width="9.5703125" bestFit="1" customWidth="1"/>
    <col min="557" max="557" width="11" bestFit="1" customWidth="1"/>
    <col min="558" max="558" width="9" bestFit="1" customWidth="1"/>
    <col min="559" max="559" width="11" bestFit="1" customWidth="1"/>
    <col min="560" max="560" width="11.140625" bestFit="1" customWidth="1"/>
    <col min="561" max="561" width="14.42578125" bestFit="1" customWidth="1"/>
    <col min="562" max="562" width="9" bestFit="1" customWidth="1"/>
    <col min="563" max="563" width="11" bestFit="1" customWidth="1"/>
    <col min="564" max="564" width="9" bestFit="1" customWidth="1"/>
    <col min="565" max="565" width="11" bestFit="1" customWidth="1"/>
    <col min="566" max="566" width="10.5703125" bestFit="1" customWidth="1"/>
    <col min="567" max="567" width="13.85546875" bestFit="1" customWidth="1"/>
    <col min="568" max="568" width="10.42578125" bestFit="1" customWidth="1"/>
    <col min="569" max="569" width="8.28515625" bestFit="1" customWidth="1"/>
    <col min="570" max="570" width="9.7109375" bestFit="1" customWidth="1"/>
    <col min="571" max="571" width="11" bestFit="1" customWidth="1"/>
    <col min="572" max="572" width="9" bestFit="1" customWidth="1"/>
    <col min="573" max="573" width="11" bestFit="1" customWidth="1"/>
    <col min="574" max="574" width="9" bestFit="1" customWidth="1"/>
    <col min="575" max="575" width="12.140625" bestFit="1" customWidth="1"/>
    <col min="576" max="576" width="16.5703125" bestFit="1" customWidth="1"/>
    <col min="577" max="577" width="9.140625" bestFit="1" customWidth="1"/>
    <col min="578" max="578" width="9.7109375" bestFit="1" customWidth="1"/>
    <col min="579" max="579" width="11" bestFit="1" customWidth="1"/>
    <col min="580" max="580" width="9" bestFit="1" customWidth="1"/>
    <col min="581" max="581" width="11" bestFit="1" customWidth="1"/>
    <col min="582" max="582" width="19.28515625" bestFit="1" customWidth="1"/>
    <col min="583" max="583" width="22.5703125" bestFit="1" customWidth="1"/>
    <col min="584" max="584" width="10.42578125" bestFit="1" customWidth="1"/>
    <col min="585" max="585" width="8.28515625" bestFit="1" customWidth="1"/>
    <col min="586" max="586" width="9.7109375" bestFit="1" customWidth="1"/>
    <col min="587" max="587" width="11" bestFit="1" customWidth="1"/>
    <col min="588" max="588" width="9" bestFit="1" customWidth="1"/>
    <col min="589" max="589" width="11" bestFit="1" customWidth="1"/>
    <col min="590" max="590" width="11.5703125" bestFit="1" customWidth="1"/>
    <col min="591" max="591" width="14.85546875" bestFit="1" customWidth="1"/>
    <col min="592" max="592" width="12.5703125" bestFit="1" customWidth="1"/>
    <col min="593" max="593" width="29.7109375" bestFit="1" customWidth="1"/>
    <col min="594" max="594" width="11" bestFit="1" customWidth="1"/>
    <col min="595" max="595" width="9" bestFit="1" customWidth="1"/>
    <col min="596" max="596" width="11" bestFit="1" customWidth="1"/>
    <col min="597" max="597" width="32.42578125" bestFit="1" customWidth="1"/>
    <col min="598" max="598" width="35.7109375" bestFit="1" customWidth="1"/>
    <col min="599" max="599" width="14.42578125" bestFit="1" customWidth="1"/>
    <col min="600" max="600" width="9.7109375" bestFit="1" customWidth="1"/>
    <col min="601" max="601" width="11" bestFit="1" customWidth="1"/>
    <col min="602" max="602" width="9" bestFit="1" customWidth="1"/>
    <col min="603" max="603" width="11" bestFit="1" customWidth="1"/>
    <col min="604" max="604" width="17.28515625" bestFit="1" customWidth="1"/>
    <col min="605" max="605" width="20.42578125" bestFit="1" customWidth="1"/>
    <col min="606" max="606" width="9" bestFit="1" customWidth="1"/>
    <col min="607" max="607" width="9.7109375" bestFit="1" customWidth="1"/>
    <col min="608" max="608" width="11" bestFit="1" customWidth="1"/>
    <col min="609" max="609" width="9" bestFit="1" customWidth="1"/>
    <col min="610" max="610" width="11" bestFit="1" customWidth="1"/>
    <col min="611" max="611" width="10" bestFit="1" customWidth="1"/>
    <col min="612" max="612" width="13.28515625" bestFit="1" customWidth="1"/>
    <col min="613" max="613" width="9.140625" bestFit="1" customWidth="1"/>
    <col min="614" max="614" width="9.7109375" bestFit="1" customWidth="1"/>
    <col min="615" max="615" width="11" bestFit="1" customWidth="1"/>
    <col min="616" max="616" width="9" bestFit="1" customWidth="1"/>
    <col min="617" max="617" width="11" bestFit="1" customWidth="1"/>
    <col min="618" max="618" width="11.7109375" bestFit="1" customWidth="1"/>
    <col min="619" max="619" width="15" bestFit="1" customWidth="1"/>
    <col min="620" max="620" width="14" bestFit="1" customWidth="1"/>
    <col min="621" max="621" width="16.7109375" bestFit="1" customWidth="1"/>
    <col min="622" max="622" width="20" bestFit="1" customWidth="1"/>
    <col min="623" max="623" width="13.5703125" bestFit="1" customWidth="1"/>
    <col min="624" max="624" width="10.28515625" bestFit="1" customWidth="1"/>
    <col min="625" max="625" width="11" bestFit="1" customWidth="1"/>
    <col min="626" max="626" width="9" bestFit="1" customWidth="1"/>
    <col min="627" max="627" width="11" bestFit="1" customWidth="1"/>
    <col min="628" max="628" width="12.85546875" bestFit="1" customWidth="1"/>
    <col min="629" max="629" width="16.140625" bestFit="1" customWidth="1"/>
    <col min="630" max="630" width="13.42578125" bestFit="1" customWidth="1"/>
    <col min="631" max="631" width="9.7109375" bestFit="1" customWidth="1"/>
    <col min="632" max="632" width="11" bestFit="1" customWidth="1"/>
    <col min="633" max="633" width="9" bestFit="1" customWidth="1"/>
    <col min="634" max="634" width="11" bestFit="1" customWidth="1"/>
    <col min="635" max="635" width="16.140625" bestFit="1" customWidth="1"/>
    <col min="636" max="636" width="19.42578125" bestFit="1" customWidth="1"/>
    <col min="637" max="637" width="11.140625" bestFit="1" customWidth="1"/>
    <col min="638" max="638" width="11" bestFit="1" customWidth="1"/>
    <col min="639" max="639" width="9" bestFit="1" customWidth="1"/>
    <col min="640" max="640" width="11" bestFit="1" customWidth="1"/>
    <col min="641" max="641" width="13.85546875" bestFit="1" customWidth="1"/>
    <col min="642" max="642" width="17" bestFit="1" customWidth="1"/>
    <col min="643" max="643" width="19.5703125" bestFit="1" customWidth="1"/>
    <col min="644" max="644" width="11" bestFit="1" customWidth="1"/>
    <col min="645" max="645" width="9" bestFit="1" customWidth="1"/>
    <col min="646" max="646" width="11" bestFit="1" customWidth="1"/>
    <col min="647" max="647" width="22.28515625" bestFit="1" customWidth="1"/>
    <col min="648" max="648" width="25.5703125" bestFit="1" customWidth="1"/>
    <col min="649" max="649" width="10.140625" bestFit="1" customWidth="1"/>
    <col min="650" max="650" width="9.7109375" bestFit="1" customWidth="1"/>
    <col min="651" max="651" width="11" bestFit="1" customWidth="1"/>
    <col min="652" max="652" width="9" bestFit="1" customWidth="1"/>
    <col min="653" max="653" width="11" bestFit="1" customWidth="1"/>
    <col min="654" max="654" width="12.7109375" bestFit="1" customWidth="1"/>
    <col min="655" max="655" width="16" bestFit="1" customWidth="1"/>
    <col min="656" max="656" width="15" bestFit="1" customWidth="1"/>
    <col min="657" max="657" width="9.7109375" bestFit="1" customWidth="1"/>
    <col min="658" max="658" width="11" bestFit="1" customWidth="1"/>
    <col min="659" max="659" width="9" bestFit="1" customWidth="1"/>
    <col min="660" max="660" width="11" bestFit="1" customWidth="1"/>
    <col min="661" max="661" width="17.7109375" bestFit="1" customWidth="1"/>
    <col min="662" max="662" width="20.85546875" bestFit="1" customWidth="1"/>
    <col min="663" max="663" width="11.85546875" bestFit="1" customWidth="1"/>
    <col min="664" max="664" width="9.7109375" bestFit="1" customWidth="1"/>
    <col min="665" max="665" width="11" bestFit="1" customWidth="1"/>
    <col min="666" max="666" width="9" bestFit="1" customWidth="1"/>
    <col min="667" max="667" width="11" bestFit="1" customWidth="1"/>
    <col min="668" max="668" width="14.5703125" bestFit="1" customWidth="1"/>
    <col min="669" max="669" width="17.85546875" bestFit="1" customWidth="1"/>
    <col min="670" max="670" width="13.42578125" bestFit="1" customWidth="1"/>
    <col min="671" max="671" width="11" bestFit="1" customWidth="1"/>
    <col min="672" max="672" width="9" bestFit="1" customWidth="1"/>
    <col min="673" max="673" width="11" bestFit="1" customWidth="1"/>
    <col min="674" max="674" width="16.140625" bestFit="1" customWidth="1"/>
    <col min="675" max="675" width="19.42578125" bestFit="1" customWidth="1"/>
    <col min="676" max="676" width="7.85546875" bestFit="1" customWidth="1"/>
    <col min="677" max="677" width="9.7109375" bestFit="1" customWidth="1"/>
    <col min="678" max="678" width="11" bestFit="1" customWidth="1"/>
    <col min="679" max="679" width="9" bestFit="1" customWidth="1"/>
    <col min="680" max="680" width="11" bestFit="1" customWidth="1"/>
    <col min="681" max="681" width="10.42578125" bestFit="1" customWidth="1"/>
    <col min="682" max="682" width="13.7109375" bestFit="1" customWidth="1"/>
    <col min="683" max="683" width="10" bestFit="1" customWidth="1"/>
    <col min="684" max="684" width="13" bestFit="1" customWidth="1"/>
    <col min="685" max="685" width="9.7109375" bestFit="1" customWidth="1"/>
    <col min="686" max="686" width="11" bestFit="1" customWidth="1"/>
    <col min="687" max="687" width="9" bestFit="1" customWidth="1"/>
    <col min="688" max="688" width="11" bestFit="1" customWidth="1"/>
    <col min="689" max="689" width="13.85546875" bestFit="1" customWidth="1"/>
    <col min="690" max="690" width="17" bestFit="1" customWidth="1"/>
    <col min="691" max="691" width="10.5703125" bestFit="1" customWidth="1"/>
    <col min="692" max="692" width="11" bestFit="1" customWidth="1"/>
    <col min="693" max="693" width="9" bestFit="1" customWidth="1"/>
    <col min="694" max="694" width="11" bestFit="1" customWidth="1"/>
    <col min="695" max="695" width="13.28515625" bestFit="1" customWidth="1"/>
    <col min="696" max="696" width="16.42578125" bestFit="1" customWidth="1"/>
    <col min="697" max="697" width="11.7109375" bestFit="1" customWidth="1"/>
    <col min="698" max="698" width="9.140625" bestFit="1" customWidth="1"/>
    <col min="699" max="699" width="9.7109375" bestFit="1" customWidth="1"/>
    <col min="700" max="700" width="11" bestFit="1" customWidth="1"/>
    <col min="701" max="701" width="9" bestFit="1" customWidth="1"/>
    <col min="702" max="702" width="11" bestFit="1" customWidth="1"/>
    <col min="703" max="703" width="14.42578125" bestFit="1" customWidth="1"/>
    <col min="704" max="704" width="17.7109375" bestFit="1" customWidth="1"/>
    <col min="705" max="705" width="10.28515625" bestFit="1" customWidth="1"/>
    <col min="706" max="706" width="11" bestFit="1" customWidth="1"/>
    <col min="707" max="707" width="9" bestFit="1" customWidth="1"/>
    <col min="708" max="708" width="11" bestFit="1" customWidth="1"/>
    <col min="709" max="709" width="12.85546875" bestFit="1" customWidth="1"/>
    <col min="710" max="710" width="16.140625" bestFit="1" customWidth="1"/>
    <col min="711" max="711" width="13.85546875" bestFit="1" customWidth="1"/>
    <col min="712" max="712" width="9.140625" bestFit="1" customWidth="1"/>
    <col min="713" max="713" width="9.7109375" bestFit="1" customWidth="1"/>
    <col min="714" max="714" width="11" bestFit="1" customWidth="1"/>
    <col min="715" max="715" width="9" bestFit="1" customWidth="1"/>
    <col min="716" max="716" width="11" bestFit="1" customWidth="1"/>
    <col min="717" max="717" width="16.5703125" bestFit="1" customWidth="1"/>
    <col min="718" max="718" width="19.85546875" bestFit="1" customWidth="1"/>
    <col min="719" max="719" width="17.7109375" bestFit="1" customWidth="1"/>
    <col min="720" max="720" width="11" bestFit="1" customWidth="1"/>
    <col min="721" max="721" width="9" bestFit="1" customWidth="1"/>
    <col min="722" max="722" width="11" bestFit="1" customWidth="1"/>
    <col min="723" max="723" width="20.42578125" bestFit="1" customWidth="1"/>
    <col min="724" max="724" width="23.7109375" bestFit="1" customWidth="1"/>
    <col min="725" max="725" width="11.85546875" bestFit="1" customWidth="1"/>
    <col min="726" max="726" width="14.5703125" bestFit="1" customWidth="1"/>
    <col min="727" max="727" width="17.85546875" bestFit="1" customWidth="1"/>
    <col min="728" max="728" width="23.28515625" bestFit="1" customWidth="1"/>
    <col min="729" max="729" width="26" bestFit="1" customWidth="1"/>
    <col min="730" max="730" width="29.140625" bestFit="1" customWidth="1"/>
    <col min="731" max="731" width="11.140625" bestFit="1" customWidth="1"/>
    <col min="732" max="732" width="9.7109375" bestFit="1" customWidth="1"/>
    <col min="733" max="733" width="11" bestFit="1" customWidth="1"/>
    <col min="734" max="734" width="9" bestFit="1" customWidth="1"/>
    <col min="735" max="735" width="11" bestFit="1" customWidth="1"/>
    <col min="736" max="736" width="13.85546875" bestFit="1" customWidth="1"/>
    <col min="737" max="737" width="17" bestFit="1" customWidth="1"/>
    <col min="738" max="738" width="12.7109375" bestFit="1" customWidth="1"/>
    <col min="739" max="739" width="9" bestFit="1" customWidth="1"/>
    <col min="740" max="740" width="9.7109375" bestFit="1" customWidth="1"/>
    <col min="741" max="741" width="11" bestFit="1" customWidth="1"/>
    <col min="742" max="742" width="9" bestFit="1" customWidth="1"/>
    <col min="743" max="743" width="11" bestFit="1" customWidth="1"/>
    <col min="744" max="744" width="15.42578125" bestFit="1" customWidth="1"/>
    <col min="745" max="745" width="18.7109375" bestFit="1" customWidth="1"/>
    <col min="746" max="746" width="16.140625" bestFit="1" customWidth="1"/>
    <col min="747" max="747" width="9" bestFit="1" customWidth="1"/>
    <col min="748" max="748" width="9.7109375" bestFit="1" customWidth="1"/>
    <col min="749" max="749" width="11" bestFit="1" customWidth="1"/>
    <col min="750" max="750" width="9" bestFit="1" customWidth="1"/>
    <col min="751" max="751" width="11" bestFit="1" customWidth="1"/>
    <col min="752" max="752" width="11.42578125" bestFit="1" customWidth="1"/>
    <col min="753" max="753" width="14.7109375" bestFit="1" customWidth="1"/>
    <col min="754" max="754" width="12.7109375" bestFit="1" customWidth="1"/>
    <col min="755" max="755" width="11" bestFit="1" customWidth="1"/>
    <col min="756" max="756" width="9" bestFit="1" customWidth="1"/>
    <col min="757" max="757" width="11" bestFit="1" customWidth="1"/>
    <col min="758" max="758" width="15.42578125" bestFit="1" customWidth="1"/>
    <col min="759" max="759" width="18.7109375" bestFit="1" customWidth="1"/>
    <col min="760" max="760" width="21.140625" bestFit="1" customWidth="1"/>
    <col min="761" max="761" width="9" bestFit="1" customWidth="1"/>
    <col min="762" max="762" width="9.7109375" bestFit="1" customWidth="1"/>
    <col min="763" max="763" width="11" bestFit="1" customWidth="1"/>
    <col min="764" max="764" width="9" bestFit="1" customWidth="1"/>
    <col min="765" max="765" width="11" bestFit="1" customWidth="1"/>
    <col min="766" max="766" width="23.85546875" bestFit="1" customWidth="1"/>
    <col min="767" max="767" width="27.140625" bestFit="1" customWidth="1"/>
    <col min="768" max="768" width="9.28515625" bestFit="1" customWidth="1"/>
    <col min="769" max="769" width="9.7109375" bestFit="1" customWidth="1"/>
    <col min="770" max="770" width="11" bestFit="1" customWidth="1"/>
    <col min="771" max="771" width="9" bestFit="1" customWidth="1"/>
    <col min="772" max="772" width="11" bestFit="1" customWidth="1"/>
    <col min="773" max="773" width="11.85546875" bestFit="1" customWidth="1"/>
    <col min="774" max="774" width="15.140625" bestFit="1" customWidth="1"/>
    <col min="775" max="775" width="17.140625" bestFit="1" customWidth="1"/>
    <col min="776" max="776" width="19.85546875" bestFit="1" customWidth="1"/>
    <col min="777" max="777" width="23.140625" bestFit="1" customWidth="1"/>
    <col min="778" max="778" width="14" bestFit="1" customWidth="1"/>
    <col min="779" max="779" width="16.7109375" bestFit="1" customWidth="1"/>
    <col min="780" max="780" width="20" bestFit="1" customWidth="1"/>
    <col min="781" max="781" width="19.140625" bestFit="1" customWidth="1"/>
    <col min="782" max="782" width="9" bestFit="1" customWidth="1"/>
    <col min="783" max="783" width="9.7109375" bestFit="1" customWidth="1"/>
    <col min="784" max="784" width="11" bestFit="1" customWidth="1"/>
    <col min="785" max="785" width="9" bestFit="1" customWidth="1"/>
    <col min="786" max="786" width="11" bestFit="1" customWidth="1"/>
    <col min="787" max="787" width="21.85546875" bestFit="1" customWidth="1"/>
    <col min="788" max="788" width="25" bestFit="1" customWidth="1"/>
    <col min="789" max="789" width="12" bestFit="1" customWidth="1"/>
    <col min="790" max="790" width="20.42578125" bestFit="1" customWidth="1"/>
    <col min="791" max="791" width="9.7109375" bestFit="1" customWidth="1"/>
    <col min="792" max="792" width="11" bestFit="1" customWidth="1"/>
    <col min="793" max="793" width="9" bestFit="1" customWidth="1"/>
    <col min="794" max="794" width="11" bestFit="1" customWidth="1"/>
    <col min="795" max="795" width="17.85546875" bestFit="1" customWidth="1"/>
    <col min="796" max="796" width="21" bestFit="1" customWidth="1"/>
    <col min="797" max="797" width="11.28515625" bestFit="1" customWidth="1"/>
    <col min="798" max="798" width="11" bestFit="1" customWidth="1"/>
    <col min="799" max="799" width="9" bestFit="1" customWidth="1"/>
    <col min="800" max="800" width="11" bestFit="1" customWidth="1"/>
    <col min="801" max="801" width="14" bestFit="1" customWidth="1"/>
    <col min="802" max="802" width="17.28515625" bestFit="1" customWidth="1"/>
    <col min="803" max="803" width="11.140625" bestFit="1" customWidth="1"/>
    <col min="804" max="804" width="11" bestFit="1" customWidth="1"/>
    <col min="805" max="805" width="9" bestFit="1" customWidth="1"/>
    <col min="806" max="806" width="11" bestFit="1" customWidth="1"/>
    <col min="807" max="807" width="13.85546875" bestFit="1" customWidth="1"/>
    <col min="808" max="808" width="17" bestFit="1" customWidth="1"/>
    <col min="809" max="809" width="13.42578125" bestFit="1" customWidth="1"/>
    <col min="810" max="810" width="16.140625" bestFit="1" customWidth="1"/>
    <col min="811" max="811" width="19.42578125" bestFit="1" customWidth="1"/>
    <col min="812" max="812" width="13.85546875" bestFit="1" customWidth="1"/>
    <col min="813" max="813" width="11" bestFit="1" customWidth="1"/>
    <col min="814" max="814" width="9" bestFit="1" customWidth="1"/>
    <col min="815" max="815" width="11" bestFit="1" customWidth="1"/>
    <col min="816" max="816" width="16.5703125" bestFit="1" customWidth="1"/>
    <col min="817" max="817" width="19.85546875" bestFit="1" customWidth="1"/>
    <col min="818" max="818" width="11.140625" bestFit="1" customWidth="1"/>
    <col min="819" max="819" width="9" bestFit="1" customWidth="1"/>
    <col min="820" max="820" width="9.7109375" bestFit="1" customWidth="1"/>
    <col min="821" max="821" width="11" bestFit="1" customWidth="1"/>
    <col min="822" max="822" width="9" bestFit="1" customWidth="1"/>
    <col min="823" max="823" width="11" bestFit="1" customWidth="1"/>
    <col min="824" max="824" width="13.85546875" bestFit="1" customWidth="1"/>
    <col min="825" max="825" width="17" bestFit="1" customWidth="1"/>
    <col min="826" max="826" width="9.85546875" bestFit="1" customWidth="1"/>
    <col min="827" max="827" width="9.7109375" bestFit="1" customWidth="1"/>
    <col min="828" max="828" width="11" bestFit="1" customWidth="1"/>
    <col min="829" max="829" width="9" bestFit="1" customWidth="1"/>
    <col min="830" max="830" width="11" bestFit="1" customWidth="1"/>
    <col min="831" max="831" width="12.42578125" bestFit="1" customWidth="1"/>
    <col min="832" max="832" width="15.7109375" bestFit="1" customWidth="1"/>
    <col min="833" max="833" width="16" bestFit="1" customWidth="1"/>
    <col min="834" max="834" width="9" bestFit="1" customWidth="1"/>
    <col min="835" max="835" width="9.7109375" bestFit="1" customWidth="1"/>
    <col min="836" max="836" width="11" bestFit="1" customWidth="1"/>
    <col min="837" max="837" width="9" bestFit="1" customWidth="1"/>
    <col min="838" max="838" width="11" bestFit="1" customWidth="1"/>
    <col min="839" max="839" width="18.7109375" bestFit="1" customWidth="1"/>
    <col min="840" max="840" width="22" bestFit="1" customWidth="1"/>
    <col min="841" max="841" width="11.28515625" bestFit="1" customWidth="1"/>
    <col min="842" max="842" width="11" bestFit="1" customWidth="1"/>
    <col min="843" max="843" width="9" bestFit="1" customWidth="1"/>
    <col min="844" max="844" width="11" bestFit="1" customWidth="1"/>
    <col min="845" max="845" width="14" bestFit="1" customWidth="1"/>
    <col min="846" max="846" width="17.28515625" bestFit="1" customWidth="1"/>
    <col min="847" max="847" width="9.28515625" bestFit="1" customWidth="1"/>
    <col min="848" max="848" width="9.7109375" bestFit="1" customWidth="1"/>
    <col min="849" max="849" width="11" bestFit="1" customWidth="1"/>
    <col min="850" max="850" width="9" bestFit="1" customWidth="1"/>
    <col min="851" max="851" width="11" bestFit="1" customWidth="1"/>
    <col min="852" max="852" width="11.85546875" bestFit="1" customWidth="1"/>
    <col min="853" max="853" width="15.140625" bestFit="1" customWidth="1"/>
    <col min="854" max="854" width="23.5703125" bestFit="1" customWidth="1"/>
    <col min="855" max="855" width="11.85546875" bestFit="1" customWidth="1"/>
    <col min="856" max="856" width="11" bestFit="1" customWidth="1"/>
    <col min="857" max="857" width="9" bestFit="1" customWidth="1"/>
    <col min="858" max="858" width="11" bestFit="1" customWidth="1"/>
    <col min="859" max="859" width="10.7109375" bestFit="1" customWidth="1"/>
    <col min="860" max="860" width="14" bestFit="1" customWidth="1"/>
    <col min="861" max="861" width="9.85546875" bestFit="1" customWidth="1"/>
    <col min="862" max="862" width="9.7109375" bestFit="1" customWidth="1"/>
    <col min="863" max="863" width="11" bestFit="1" customWidth="1"/>
    <col min="864" max="864" width="9" bestFit="1" customWidth="1"/>
    <col min="865" max="865" width="11" bestFit="1" customWidth="1"/>
    <col min="866" max="866" width="12.42578125" bestFit="1" customWidth="1"/>
    <col min="867" max="867" width="15.7109375" bestFit="1" customWidth="1"/>
    <col min="868" max="868" width="16.42578125" bestFit="1" customWidth="1"/>
    <col min="869" max="869" width="19.140625" bestFit="1" customWidth="1"/>
    <col min="870" max="870" width="22.42578125" bestFit="1" customWidth="1"/>
    <col min="871" max="871" width="9" bestFit="1" customWidth="1"/>
    <col min="872" max="872" width="11" bestFit="1" customWidth="1"/>
    <col min="873" max="873" width="9" bestFit="1" customWidth="1"/>
    <col min="874" max="874" width="11" bestFit="1" customWidth="1"/>
    <col min="875" max="875" width="11.5703125" bestFit="1" customWidth="1"/>
    <col min="876" max="876" width="14.85546875" bestFit="1" customWidth="1"/>
    <col min="877" max="877" width="17.140625" bestFit="1" customWidth="1"/>
    <col min="878" max="878" width="9.140625" bestFit="1" customWidth="1"/>
    <col min="879" max="879" width="9.7109375" bestFit="1" customWidth="1"/>
    <col min="880" max="880" width="11" bestFit="1" customWidth="1"/>
    <col min="881" max="881" width="9" bestFit="1" customWidth="1"/>
    <col min="882" max="882" width="11" bestFit="1" customWidth="1"/>
    <col min="883" max="883" width="19.85546875" bestFit="1" customWidth="1"/>
    <col min="884" max="884" width="23.140625" bestFit="1" customWidth="1"/>
    <col min="885" max="885" width="10.42578125" bestFit="1" customWidth="1"/>
    <col min="886" max="886" width="13.140625" bestFit="1" customWidth="1"/>
    <col min="887" max="887" width="16.28515625" bestFit="1" customWidth="1"/>
    <col min="888" max="888" width="11.5703125" bestFit="1" customWidth="1"/>
    <col min="889" max="889" width="11" bestFit="1" customWidth="1"/>
    <col min="890" max="890" width="9" bestFit="1" customWidth="1"/>
    <col min="891" max="891" width="11" bestFit="1" customWidth="1"/>
    <col min="892" max="892" width="14.28515625" bestFit="1" customWidth="1"/>
    <col min="893" max="893" width="17.5703125" bestFit="1" customWidth="1"/>
    <col min="894" max="894" width="13.42578125" bestFit="1" customWidth="1"/>
    <col min="895" max="895" width="9.7109375" bestFit="1" customWidth="1"/>
    <col min="896" max="896" width="11" bestFit="1" customWidth="1"/>
    <col min="897" max="897" width="9" bestFit="1" customWidth="1"/>
    <col min="898" max="898" width="11" bestFit="1" customWidth="1"/>
    <col min="899" max="899" width="16.140625" bestFit="1" customWidth="1"/>
    <col min="900" max="900" width="19.42578125" bestFit="1" customWidth="1"/>
    <col min="901" max="901" width="15" bestFit="1" customWidth="1"/>
    <col min="902" max="902" width="13.7109375" bestFit="1" customWidth="1"/>
    <col min="903" max="903" width="12.42578125" bestFit="1" customWidth="1"/>
    <col min="904" max="904" width="15.7109375" bestFit="1" customWidth="1"/>
    <col min="905" max="905" width="9" bestFit="1" customWidth="1"/>
    <col min="906" max="906" width="11" bestFit="1" customWidth="1"/>
    <col min="907" max="907" width="9" bestFit="1" customWidth="1"/>
    <col min="908" max="908" width="11" bestFit="1" customWidth="1"/>
    <col min="909" max="909" width="9.7109375" bestFit="1" customWidth="1"/>
    <col min="910" max="910" width="12.85546875" bestFit="1" customWidth="1"/>
    <col min="911" max="911" width="12.7109375" bestFit="1" customWidth="1"/>
    <col min="912" max="912" width="11" bestFit="1" customWidth="1"/>
    <col min="913" max="913" width="9" bestFit="1" customWidth="1"/>
    <col min="914" max="914" width="11" bestFit="1" customWidth="1"/>
    <col min="915" max="915" width="15.42578125" bestFit="1" customWidth="1"/>
    <col min="916" max="916" width="18.7109375" bestFit="1" customWidth="1"/>
    <col min="917" max="917" width="17" bestFit="1" customWidth="1"/>
    <col min="918" max="918" width="9.7109375" bestFit="1" customWidth="1"/>
    <col min="919" max="919" width="11" bestFit="1" customWidth="1"/>
    <col min="920" max="920" width="9" bestFit="1" customWidth="1"/>
    <col min="921" max="921" width="11" bestFit="1" customWidth="1"/>
    <col min="922" max="922" width="19.7109375" bestFit="1" customWidth="1"/>
    <col min="923" max="923" width="23" bestFit="1" customWidth="1"/>
    <col min="924" max="924" width="10.42578125" bestFit="1" customWidth="1"/>
    <col min="925" max="925" width="9.140625" bestFit="1" customWidth="1"/>
    <col min="926" max="926" width="9.7109375" bestFit="1" customWidth="1"/>
    <col min="927" max="927" width="11" bestFit="1" customWidth="1"/>
    <col min="928" max="928" width="9" bestFit="1" customWidth="1"/>
    <col min="929" max="929" width="11" bestFit="1" customWidth="1"/>
    <col min="930" max="930" width="12.5703125" bestFit="1" customWidth="1"/>
    <col min="931" max="931" width="15.85546875" bestFit="1" customWidth="1"/>
    <col min="932" max="932" width="16.85546875" bestFit="1" customWidth="1"/>
    <col min="933" max="933" width="13.7109375" bestFit="1" customWidth="1"/>
    <col min="934" max="934" width="11" bestFit="1" customWidth="1"/>
    <col min="935" max="935" width="9" bestFit="1" customWidth="1"/>
    <col min="936" max="936" width="11" bestFit="1" customWidth="1"/>
    <col min="937" max="937" width="16.140625" bestFit="1" customWidth="1"/>
    <col min="938" max="938" width="19.42578125" bestFit="1" customWidth="1"/>
    <col min="939" max="939" width="12.140625" bestFit="1" customWidth="1"/>
    <col min="940" max="940" width="14.85546875" bestFit="1" customWidth="1"/>
    <col min="941" max="941" width="18.140625" bestFit="1" customWidth="1"/>
    <col min="942" max="942" width="10.42578125" bestFit="1" customWidth="1"/>
    <col min="943" max="943" width="9.7109375" bestFit="1" customWidth="1"/>
    <col min="944" max="944" width="11" bestFit="1" customWidth="1"/>
    <col min="945" max="945" width="9" bestFit="1" customWidth="1"/>
    <col min="946" max="946" width="11" bestFit="1" customWidth="1"/>
    <col min="947" max="947" width="13.140625" bestFit="1" customWidth="1"/>
    <col min="948" max="948" width="16.28515625" bestFit="1" customWidth="1"/>
    <col min="949" max="949" width="9" bestFit="1" customWidth="1"/>
    <col min="950" max="950" width="9.7109375" bestFit="1" customWidth="1"/>
    <col min="951" max="951" width="11" bestFit="1" customWidth="1"/>
    <col min="952" max="952" width="9" bestFit="1" customWidth="1"/>
    <col min="953" max="953" width="11" bestFit="1" customWidth="1"/>
    <col min="954" max="954" width="10.85546875" bestFit="1" customWidth="1"/>
    <col min="955" max="955" width="14.140625" bestFit="1" customWidth="1"/>
    <col min="956" max="956" width="9.5703125" bestFit="1" customWidth="1"/>
    <col min="957" max="957" width="11" bestFit="1" customWidth="1"/>
    <col min="958" max="958" width="9" bestFit="1" customWidth="1"/>
    <col min="959" max="959" width="11" bestFit="1" customWidth="1"/>
    <col min="960" max="960" width="12.140625" bestFit="1" customWidth="1"/>
    <col min="961" max="961" width="15.42578125" bestFit="1" customWidth="1"/>
    <col min="962" max="962" width="25" bestFit="1" customWidth="1"/>
    <col min="963" max="963" width="27.7109375" bestFit="1" customWidth="1"/>
    <col min="964" max="964" width="31" bestFit="1" customWidth="1"/>
    <col min="965" max="965" width="16.85546875" bestFit="1" customWidth="1"/>
    <col min="966" max="966" width="16" bestFit="1" customWidth="1"/>
    <col min="967" max="967" width="18.7109375" bestFit="1" customWidth="1"/>
    <col min="968" max="968" width="22" bestFit="1" customWidth="1"/>
    <col min="969" max="969" width="28.5703125" bestFit="1" customWidth="1"/>
    <col min="970" max="970" width="9.7109375" bestFit="1" customWidth="1"/>
    <col min="971" max="971" width="11" bestFit="1" customWidth="1"/>
    <col min="972" max="972" width="9" bestFit="1" customWidth="1"/>
    <col min="973" max="973" width="11" bestFit="1" customWidth="1"/>
    <col min="974" max="974" width="31.28515625" bestFit="1" customWidth="1"/>
    <col min="975" max="975" width="34.5703125" bestFit="1" customWidth="1"/>
    <col min="976" max="976" width="22.42578125" bestFit="1" customWidth="1"/>
    <col min="977" max="977" width="11" bestFit="1" customWidth="1"/>
    <col min="978" max="978" width="9" bestFit="1" customWidth="1"/>
    <col min="979" max="979" width="11" bestFit="1" customWidth="1"/>
    <col min="980" max="980" width="25.140625" bestFit="1" customWidth="1"/>
    <col min="981" max="981" width="28.42578125" bestFit="1" customWidth="1"/>
    <col min="982" max="982" width="14.28515625" bestFit="1" customWidth="1"/>
    <col min="983" max="983" width="11" bestFit="1" customWidth="1"/>
    <col min="984" max="984" width="9" bestFit="1" customWidth="1"/>
    <col min="985" max="985" width="11" bestFit="1" customWidth="1"/>
    <col min="986" max="986" width="17" bestFit="1" customWidth="1"/>
    <col min="987" max="987" width="20.28515625" bestFit="1" customWidth="1"/>
    <col min="988" max="988" width="14.140625" bestFit="1" customWidth="1"/>
    <col min="989" max="989" width="9.7109375" bestFit="1" customWidth="1"/>
    <col min="990" max="990" width="11" bestFit="1" customWidth="1"/>
    <col min="991" max="991" width="9" bestFit="1" customWidth="1"/>
    <col min="992" max="992" width="11" bestFit="1" customWidth="1"/>
    <col min="993" max="993" width="16.85546875" bestFit="1" customWidth="1"/>
    <col min="994" max="994" width="20.140625" bestFit="1" customWidth="1"/>
    <col min="995" max="995" width="12" bestFit="1" customWidth="1"/>
    <col min="996" max="996" width="14.7109375" bestFit="1" customWidth="1"/>
    <col min="997" max="997" width="18" bestFit="1" customWidth="1"/>
    <col min="998" max="998" width="15.28515625" bestFit="1" customWidth="1"/>
    <col min="999" max="999" width="18" bestFit="1" customWidth="1"/>
    <col min="1000" max="1000" width="21.140625" bestFit="1" customWidth="1"/>
    <col min="1001" max="1001" width="29.85546875" bestFit="1" customWidth="1"/>
    <col min="1002" max="1002" width="11" bestFit="1" customWidth="1"/>
    <col min="1003" max="1003" width="9" bestFit="1" customWidth="1"/>
    <col min="1004" max="1004" width="11" bestFit="1" customWidth="1"/>
    <col min="1005" max="1005" width="32.5703125" bestFit="1" customWidth="1"/>
    <col min="1006" max="1006" width="35.85546875" bestFit="1" customWidth="1"/>
    <col min="1007" max="1007" width="15.85546875" bestFit="1" customWidth="1"/>
    <col min="1008" max="1008" width="18.5703125" bestFit="1" customWidth="1"/>
    <col min="1009" max="1009" width="21.85546875" bestFit="1" customWidth="1"/>
    <col min="1010" max="1010" width="10.85546875" bestFit="1" customWidth="1"/>
    <col min="1011" max="1011" width="10" bestFit="1" customWidth="1"/>
    <col min="1012" max="1012" width="12.5703125" bestFit="1" customWidth="1"/>
    <col min="1013" max="1013" width="15.85546875" bestFit="1" customWidth="1"/>
    <col min="1014" max="1014" width="20.28515625" bestFit="1" customWidth="1"/>
    <col min="1015" max="1015" width="9.7109375" bestFit="1" customWidth="1"/>
    <col min="1016" max="1016" width="11" bestFit="1" customWidth="1"/>
    <col min="1017" max="1017" width="9" bestFit="1" customWidth="1"/>
    <col min="1018" max="1018" width="11" bestFit="1" customWidth="1"/>
    <col min="1019" max="1019" width="23" bestFit="1" customWidth="1"/>
    <col min="1020" max="1020" width="26.28515625" bestFit="1" customWidth="1"/>
    <col min="1021" max="1021" width="10.5703125" bestFit="1" customWidth="1"/>
    <col min="1022" max="1022" width="11" bestFit="1" customWidth="1"/>
    <col min="1023" max="1023" width="9" bestFit="1" customWidth="1"/>
    <col min="1024" max="1024" width="11" bestFit="1" customWidth="1"/>
    <col min="1025" max="1025" width="13.28515625" bestFit="1" customWidth="1"/>
    <col min="1026" max="1026" width="16.42578125" bestFit="1" customWidth="1"/>
    <col min="1027" max="1027" width="18.140625" bestFit="1" customWidth="1"/>
    <col min="1028" max="1028" width="9.7109375" bestFit="1" customWidth="1"/>
    <col min="1029" max="1029" width="11" bestFit="1" customWidth="1"/>
    <col min="1030" max="1030" width="9" bestFit="1" customWidth="1"/>
    <col min="1031" max="1031" width="11" bestFit="1" customWidth="1"/>
    <col min="1032" max="1032" width="20.85546875" bestFit="1" customWidth="1"/>
    <col min="1033" max="1033" width="24.140625" bestFit="1" customWidth="1"/>
    <col min="1034" max="1034" width="13.7109375" bestFit="1" customWidth="1"/>
    <col min="1035" max="1035" width="16.42578125" bestFit="1" customWidth="1"/>
    <col min="1036" max="1036" width="19.7109375" bestFit="1" customWidth="1"/>
    <col min="1037" max="1037" width="15.28515625" bestFit="1" customWidth="1"/>
    <col min="1038" max="1038" width="18" bestFit="1" customWidth="1"/>
    <col min="1039" max="1039" width="21.140625" bestFit="1" customWidth="1"/>
    <col min="1040" max="1040" width="29.140625" bestFit="1" customWidth="1"/>
    <col min="1041" max="1041" width="9.7109375" bestFit="1" customWidth="1"/>
    <col min="1042" max="1042" width="11" bestFit="1" customWidth="1"/>
    <col min="1043" max="1043" width="9" bestFit="1" customWidth="1"/>
    <col min="1044" max="1044" width="11" bestFit="1" customWidth="1"/>
    <col min="1045" max="1045" width="31.85546875" bestFit="1" customWidth="1"/>
    <col min="1046" max="1046" width="35.140625" bestFit="1" customWidth="1"/>
    <col min="1047" max="1047" width="9" bestFit="1" customWidth="1"/>
    <col min="1048" max="1048" width="11" bestFit="1" customWidth="1"/>
    <col min="1049" max="1049" width="9" bestFit="1" customWidth="1"/>
    <col min="1050" max="1051" width="11" bestFit="1" customWidth="1"/>
    <col min="1052" max="1052" width="14.28515625" bestFit="1" customWidth="1"/>
    <col min="1053" max="1053" width="13.140625" bestFit="1" customWidth="1"/>
    <col min="1054" max="1054" width="9.85546875" bestFit="1" customWidth="1"/>
    <col min="1055" max="1055" width="9.7109375" bestFit="1" customWidth="1"/>
    <col min="1056" max="1056" width="11" bestFit="1" customWidth="1"/>
    <col min="1057" max="1057" width="9" bestFit="1" customWidth="1"/>
    <col min="1058" max="1058" width="11" bestFit="1" customWidth="1"/>
    <col min="1059" max="1059" width="12.42578125" bestFit="1" customWidth="1"/>
    <col min="1060" max="1060" width="15.7109375" bestFit="1" customWidth="1"/>
    <col min="1061" max="1061" width="8" bestFit="1" customWidth="1"/>
    <col min="1062" max="1062" width="9.7109375" bestFit="1" customWidth="1"/>
    <col min="1063" max="1063" width="12.85546875" bestFit="1" customWidth="1"/>
    <col min="1064" max="1064" width="15.85546875" bestFit="1" customWidth="1"/>
    <col min="1065" max="1065" width="11" bestFit="1" customWidth="1"/>
    <col min="1066" max="1066" width="9" bestFit="1" customWidth="1"/>
    <col min="1067" max="1067" width="11" bestFit="1" customWidth="1"/>
    <col min="1068" max="1068" width="18.5703125" bestFit="1" customWidth="1"/>
    <col min="1069" max="1069" width="21.85546875" bestFit="1" customWidth="1"/>
    <col min="1070" max="1070" width="11.28515625" bestFit="1" customWidth="1"/>
    <col min="1071" max="1071" width="9.7109375" bestFit="1" customWidth="1"/>
    <col min="1072" max="1072" width="11" bestFit="1" customWidth="1"/>
    <col min="1073" max="1073" width="9" bestFit="1" customWidth="1"/>
    <col min="1074" max="1074" width="11" bestFit="1" customWidth="1"/>
    <col min="1075" max="1075" width="14" bestFit="1" customWidth="1"/>
    <col min="1076" max="1076" width="17.28515625" bestFit="1" customWidth="1"/>
    <col min="1077" max="1077" width="10.42578125" bestFit="1" customWidth="1"/>
    <col min="1078" max="1078" width="11" bestFit="1" customWidth="1"/>
    <col min="1079" max="1079" width="9" bestFit="1" customWidth="1"/>
    <col min="1080" max="1080" width="11" bestFit="1" customWidth="1"/>
    <col min="1081" max="1081" width="13.140625" bestFit="1" customWidth="1"/>
    <col min="1082" max="1082" width="16.28515625" bestFit="1" customWidth="1"/>
    <col min="1083" max="1083" width="9" bestFit="1" customWidth="1"/>
    <col min="1084" max="1084" width="9.7109375" bestFit="1" customWidth="1"/>
    <col min="1085" max="1085" width="11" bestFit="1" customWidth="1"/>
    <col min="1086" max="1086" width="9" bestFit="1" customWidth="1"/>
    <col min="1087" max="1087" width="11" bestFit="1" customWidth="1"/>
    <col min="1088" max="1088" width="10.85546875" bestFit="1" customWidth="1"/>
    <col min="1089" max="1089" width="14.140625" bestFit="1" customWidth="1"/>
    <col min="1090" max="1090" width="18.5703125" bestFit="1" customWidth="1"/>
    <col min="1091" max="1091" width="9.7109375" bestFit="1" customWidth="1"/>
    <col min="1092" max="1092" width="11" bestFit="1" customWidth="1"/>
    <col min="1093" max="1093" width="9" bestFit="1" customWidth="1"/>
    <col min="1094" max="1094" width="11" bestFit="1" customWidth="1"/>
    <col min="1095" max="1095" width="21.42578125" bestFit="1" customWidth="1"/>
    <col min="1096" max="1096" width="24.5703125" bestFit="1" customWidth="1"/>
    <col min="1097" max="1097" width="14.140625" bestFit="1" customWidth="1"/>
    <col min="1098" max="1098" width="9.7109375" bestFit="1" customWidth="1"/>
    <col min="1099" max="1099" width="11" bestFit="1" customWidth="1"/>
    <col min="1100" max="1100" width="9" bestFit="1" customWidth="1"/>
    <col min="1101" max="1101" width="11" bestFit="1" customWidth="1"/>
    <col min="1102" max="1102" width="16.85546875" bestFit="1" customWidth="1"/>
    <col min="1103" max="1103" width="20.140625" bestFit="1" customWidth="1"/>
    <col min="1104" max="1104" width="11.85546875" bestFit="1" customWidth="1"/>
    <col min="1105" max="1105" width="14.42578125" bestFit="1" customWidth="1"/>
    <col min="1106" max="1106" width="11" bestFit="1" customWidth="1"/>
    <col min="1107" max="1107" width="9" bestFit="1" customWidth="1"/>
    <col min="1108" max="1108" width="11" bestFit="1" customWidth="1"/>
    <col min="1109" max="1109" width="17.28515625" bestFit="1" customWidth="1"/>
    <col min="1110" max="1110" width="20.42578125" bestFit="1" customWidth="1"/>
    <col min="1111" max="1111" width="11.5703125" bestFit="1" customWidth="1"/>
    <col min="1112" max="1112" width="11" bestFit="1" customWidth="1"/>
    <col min="1113" max="1113" width="9" bestFit="1" customWidth="1"/>
    <col min="1114" max="1114" width="11" bestFit="1" customWidth="1"/>
    <col min="1115" max="1115" width="14.28515625" bestFit="1" customWidth="1"/>
    <col min="1116" max="1116" width="17.5703125" bestFit="1" customWidth="1"/>
    <col min="1117" max="1117" width="8.5703125" bestFit="1" customWidth="1"/>
    <col min="1118" max="1118" width="11" bestFit="1" customWidth="1"/>
    <col min="1119" max="1119" width="9" bestFit="1" customWidth="1"/>
    <col min="1120" max="1120" width="11" bestFit="1" customWidth="1"/>
    <col min="1121" max="1121" width="11.140625" bestFit="1" customWidth="1"/>
    <col min="1122" max="1122" width="14.42578125" bestFit="1" customWidth="1"/>
    <col min="1123" max="1123" width="12.7109375" bestFit="1" customWidth="1"/>
    <col min="1124" max="1124" width="17.28515625" bestFit="1" customWidth="1"/>
    <col min="1125" max="1125" width="9" bestFit="1" customWidth="1"/>
    <col min="1126" max="1126" width="9.7109375" bestFit="1" customWidth="1"/>
    <col min="1127" max="1127" width="11" bestFit="1" customWidth="1"/>
    <col min="1128" max="1128" width="9" bestFit="1" customWidth="1"/>
    <col min="1129" max="1129" width="11" bestFit="1" customWidth="1"/>
    <col min="1130" max="1130" width="11.28515625" bestFit="1" customWidth="1"/>
    <col min="1131" max="1131" width="14.5703125" bestFit="1" customWidth="1"/>
    <col min="1132" max="1132" width="9.28515625" bestFit="1" customWidth="1"/>
    <col min="1133" max="1133" width="9.7109375" bestFit="1" customWidth="1"/>
    <col min="1134" max="1134" width="11" bestFit="1" customWidth="1"/>
    <col min="1135" max="1135" width="9" bestFit="1" customWidth="1"/>
    <col min="1136" max="1136" width="11" bestFit="1" customWidth="1"/>
    <col min="1137" max="1137" width="11.85546875" bestFit="1" customWidth="1"/>
    <col min="1138" max="1138" width="15.140625" bestFit="1" customWidth="1"/>
    <col min="1139" max="1139" width="22.85546875" bestFit="1" customWidth="1"/>
    <col min="1140" max="1140" width="11" bestFit="1" customWidth="1"/>
    <col min="1141" max="1141" width="9" bestFit="1" customWidth="1"/>
    <col min="1142" max="1142" width="11" bestFit="1" customWidth="1"/>
    <col min="1143" max="1143" width="25.7109375" bestFit="1" customWidth="1"/>
    <col min="1144" max="1144" width="28.85546875" bestFit="1" customWidth="1"/>
    <col min="1145" max="1145" width="14.140625" bestFit="1" customWidth="1"/>
    <col min="1146" max="1146" width="8.28515625" bestFit="1" customWidth="1"/>
    <col min="1147" max="1147" width="9.7109375" bestFit="1" customWidth="1"/>
    <col min="1148" max="1148" width="11" bestFit="1" customWidth="1"/>
    <col min="1149" max="1149" width="9" bestFit="1" customWidth="1"/>
    <col min="1150" max="1150" width="11" bestFit="1" customWidth="1"/>
    <col min="1151" max="1151" width="16.85546875" bestFit="1" customWidth="1"/>
    <col min="1152" max="1152" width="20.140625" bestFit="1" customWidth="1"/>
    <col min="1153" max="1153" width="13" bestFit="1" customWidth="1"/>
    <col min="1154" max="1154" width="15.7109375" bestFit="1" customWidth="1"/>
    <col min="1155" max="1155" width="19" bestFit="1" customWidth="1"/>
    <col min="1156" max="1156" width="13.85546875" bestFit="1" customWidth="1"/>
    <col min="1157" max="1157" width="16.5703125" bestFit="1" customWidth="1"/>
    <col min="1158" max="1158" width="19.85546875" bestFit="1" customWidth="1"/>
    <col min="1159" max="1159" width="17.28515625" bestFit="1" customWidth="1"/>
    <col min="1160" max="1160" width="11" bestFit="1" customWidth="1"/>
    <col min="1161" max="1161" width="9" bestFit="1" customWidth="1"/>
    <col min="1162" max="1162" width="11" bestFit="1" customWidth="1"/>
    <col min="1163" max="1163" width="20" bestFit="1" customWidth="1"/>
    <col min="1164" max="1164" width="23.28515625" bestFit="1" customWidth="1"/>
    <col min="1165" max="1165" width="20.42578125" bestFit="1" customWidth="1"/>
    <col min="1166" max="1166" width="15.140625" bestFit="1" customWidth="1"/>
    <col min="1167" max="1167" width="17.85546875" bestFit="1" customWidth="1"/>
    <col min="1168" max="1168" width="21" bestFit="1" customWidth="1"/>
    <col min="1169" max="1169" width="18.42578125" bestFit="1" customWidth="1"/>
    <col min="1171" max="1171" width="9.7109375" bestFit="1" customWidth="1"/>
    <col min="1172" max="1172" width="11" bestFit="1" customWidth="1"/>
    <col min="1173" max="1173" width="9" bestFit="1" customWidth="1"/>
    <col min="1174" max="1174" width="11" bestFit="1" customWidth="1"/>
    <col min="1175" max="1175" width="21.140625" bestFit="1" customWidth="1"/>
    <col min="1176" max="1176" width="24.42578125" bestFit="1" customWidth="1"/>
    <col min="1177" max="1177" width="9" bestFit="1" customWidth="1"/>
    <col min="1178" max="1178" width="11" bestFit="1" customWidth="1"/>
    <col min="1179" max="1179" width="9" bestFit="1" customWidth="1"/>
    <col min="1180" max="1180" width="11" bestFit="1" customWidth="1"/>
    <col min="1181" max="1181" width="10.5703125" bestFit="1" customWidth="1"/>
    <col min="1182" max="1182" width="13.85546875" bestFit="1" customWidth="1"/>
    <col min="1183" max="1183" width="12.28515625" bestFit="1" customWidth="1"/>
    <col min="1184" max="1184" width="9.7109375" bestFit="1" customWidth="1"/>
    <col min="1185" max="1185" width="11" bestFit="1" customWidth="1"/>
    <col min="1186" max="1186" width="9" bestFit="1" customWidth="1"/>
    <col min="1187" max="1187" width="11" bestFit="1" customWidth="1"/>
    <col min="1188" max="1188" width="15" bestFit="1" customWidth="1"/>
    <col min="1189" max="1189" width="18.28515625" bestFit="1" customWidth="1"/>
    <col min="1190" max="1190" width="10.140625" bestFit="1" customWidth="1"/>
    <col min="1191" max="1191" width="11" bestFit="1" customWidth="1"/>
    <col min="1192" max="1192" width="9" bestFit="1" customWidth="1"/>
    <col min="1193" max="1193" width="11" bestFit="1" customWidth="1"/>
    <col min="1194" max="1194" width="12.7109375" bestFit="1" customWidth="1"/>
    <col min="1195" max="1195" width="16" bestFit="1" customWidth="1"/>
    <col min="1196" max="1196" width="10.42578125" bestFit="1" customWidth="1"/>
    <col min="1197" max="1197" width="9" bestFit="1" customWidth="1"/>
    <col min="1198" max="1198" width="9.7109375" bestFit="1" customWidth="1"/>
    <col min="1199" max="1199" width="11" bestFit="1" customWidth="1"/>
    <col min="1200" max="1200" width="9" bestFit="1" customWidth="1"/>
    <col min="1201" max="1202" width="11" bestFit="1" customWidth="1"/>
    <col min="1203" max="1203" width="14.28515625" bestFit="1" customWidth="1"/>
    <col min="1204" max="1204" width="18.28515625" bestFit="1" customWidth="1"/>
    <col min="1205" max="1205" width="11.140625" bestFit="1" customWidth="1"/>
    <col min="1206" max="1206" width="9.7109375" bestFit="1" customWidth="1"/>
    <col min="1207" max="1207" width="11" bestFit="1" customWidth="1"/>
    <col min="1208" max="1208" width="9" bestFit="1" customWidth="1"/>
    <col min="1209" max="1209" width="11" bestFit="1" customWidth="1"/>
    <col min="1210" max="1210" width="13.85546875" bestFit="1" customWidth="1"/>
    <col min="1211" max="1211" width="17" bestFit="1" customWidth="1"/>
    <col min="1212" max="1212" width="6.85546875" bestFit="1" customWidth="1"/>
    <col min="1213" max="1213" width="8.85546875" bestFit="1" customWidth="1"/>
    <col min="1214" max="1214" width="12" bestFit="1" customWidth="1"/>
    <col min="1215" max="1215" width="9.42578125" bestFit="1" customWidth="1"/>
    <col min="1216" max="1216" width="12" bestFit="1" customWidth="1"/>
    <col min="1217" max="1217" width="15.28515625" bestFit="1" customWidth="1"/>
    <col min="1218" max="1218" width="9" bestFit="1" customWidth="1"/>
    <col min="1219" max="1219" width="10.85546875" bestFit="1" customWidth="1"/>
    <col min="1220" max="1220" width="14.140625" bestFit="1" customWidth="1"/>
    <col min="1221" max="1221" width="13.42578125" bestFit="1" customWidth="1"/>
    <col min="1222" max="1222" width="11.28515625" bestFit="1" customWidth="1"/>
  </cols>
  <sheetData>
    <row r="1" spans="1:1222" x14ac:dyDescent="0.25">
      <c r="AU1" t="e">
        <f>GETPIVOTDATA($B$2,"Australia Region[Puglia;Data,Sum] '9232'")</f>
        <v>#REF!</v>
      </c>
    </row>
    <row r="2" spans="1:1222" x14ac:dyDescent="0.25">
      <c r="A2">
        <f>GETPIVOTDATA("OrderValue",$B$2,"PostalZip",9232,"Region","Puglia","Country","Australia","Quarters (InvoiceDate)",4,"Years (InvoiceDate)",2022)</f>
        <v>33997.99</v>
      </c>
      <c r="B2" s="5" t="s">
        <v>858</v>
      </c>
      <c r="C2" s="5" t="s">
        <v>862</v>
      </c>
    </row>
    <row r="3" spans="1:1222" x14ac:dyDescent="0.25">
      <c r="A3">
        <f>GETPIVOTDATA($B$2,"Australia Puglia 'Years (InvoiceDate)'['2022';Max] '9232'")</f>
        <v>33997.99</v>
      </c>
      <c r="C3" t="s">
        <v>36</v>
      </c>
      <c r="AI3" t="s">
        <v>1327</v>
      </c>
      <c r="AJ3" t="s">
        <v>20</v>
      </c>
      <c r="CD3" t="s">
        <v>1328</v>
      </c>
      <c r="CE3" t="s">
        <v>18</v>
      </c>
      <c r="DU3" t="s">
        <v>1329</v>
      </c>
      <c r="DV3" t="s">
        <v>47</v>
      </c>
      <c r="EF3" t="s">
        <v>1330</v>
      </c>
      <c r="EG3" t="s">
        <v>38</v>
      </c>
      <c r="FX3" t="s">
        <v>1331</v>
      </c>
      <c r="FY3" t="s">
        <v>66</v>
      </c>
      <c r="GM3" t="s">
        <v>1332</v>
      </c>
      <c r="GN3" t="s">
        <v>5</v>
      </c>
      <c r="GW3" t="s">
        <v>1333</v>
      </c>
      <c r="GX3" t="s">
        <v>44</v>
      </c>
      <c r="HM3" t="s">
        <v>1334</v>
      </c>
      <c r="HN3" t="s">
        <v>34</v>
      </c>
      <c r="IK3" t="s">
        <v>1335</v>
      </c>
      <c r="IL3" t="s">
        <v>30</v>
      </c>
      <c r="JL3" t="s">
        <v>1336</v>
      </c>
      <c r="JM3" t="s">
        <v>17</v>
      </c>
      <c r="KW3" t="s">
        <v>1337</v>
      </c>
      <c r="KX3" t="s">
        <v>61</v>
      </c>
      <c r="MZ3" t="s">
        <v>1338</v>
      </c>
      <c r="NA3" t="s">
        <v>22</v>
      </c>
      <c r="OD3" t="s">
        <v>1339</v>
      </c>
      <c r="OE3" t="s">
        <v>23</v>
      </c>
      <c r="PJ3" t="s">
        <v>1340</v>
      </c>
      <c r="PK3" t="s">
        <v>71</v>
      </c>
      <c r="RC3" t="s">
        <v>1341</v>
      </c>
      <c r="RD3" t="s">
        <v>27</v>
      </c>
      <c r="RG3" t="s">
        <v>1342</v>
      </c>
      <c r="RH3" t="s">
        <v>53</v>
      </c>
      <c r="TE3" t="s">
        <v>1343</v>
      </c>
      <c r="TF3" t="s">
        <v>14</v>
      </c>
      <c r="TI3" t="s">
        <v>1344</v>
      </c>
      <c r="TJ3" t="s">
        <v>42</v>
      </c>
      <c r="UI3" t="s">
        <v>1345</v>
      </c>
      <c r="UJ3" t="s">
        <v>2</v>
      </c>
      <c r="VT3" t="s">
        <v>1346</v>
      </c>
      <c r="VU3" t="s">
        <v>16</v>
      </c>
      <c r="WY3" t="s">
        <v>1347</v>
      </c>
      <c r="WZ3" t="s">
        <v>48</v>
      </c>
      <c r="ZG3" t="s">
        <v>1348</v>
      </c>
      <c r="ZH3" t="s">
        <v>37</v>
      </c>
      <c r="ABR3" t="s">
        <v>1349</v>
      </c>
      <c r="ABS3" t="s">
        <v>13</v>
      </c>
      <c r="ADI3" t="s">
        <v>1350</v>
      </c>
      <c r="ADJ3" t="s">
        <v>12</v>
      </c>
      <c r="AFV3" t="s">
        <v>1351</v>
      </c>
      <c r="AFW3" t="s">
        <v>15</v>
      </c>
      <c r="AHQ3" t="s">
        <v>1352</v>
      </c>
      <c r="AHR3" t="s">
        <v>3</v>
      </c>
      <c r="AIV3" t="s">
        <v>1353</v>
      </c>
      <c r="AIW3" t="s">
        <v>32</v>
      </c>
      <c r="AKC3" t="s">
        <v>1354</v>
      </c>
      <c r="AKD3" t="s">
        <v>28</v>
      </c>
      <c r="ALV3" t="s">
        <v>1355</v>
      </c>
      <c r="ALW3" t="s">
        <v>33</v>
      </c>
      <c r="ANM3" t="s">
        <v>1356</v>
      </c>
      <c r="ANN3" t="s">
        <v>64</v>
      </c>
      <c r="APL3" t="s">
        <v>1357</v>
      </c>
      <c r="APM3" t="s">
        <v>9</v>
      </c>
      <c r="AQE3" t="s">
        <v>1358</v>
      </c>
      <c r="AQF3" t="s">
        <v>40</v>
      </c>
      <c r="ARU3" t="s">
        <v>1359</v>
      </c>
      <c r="ARV3" t="s">
        <v>19</v>
      </c>
      <c r="ATH3" t="s">
        <v>1360</v>
      </c>
      <c r="ATI3" t="s">
        <v>7</v>
      </c>
      <c r="ATY3" t="s">
        <v>1361</v>
      </c>
      <c r="ATZ3" t="s">
        <v>854</v>
      </c>
    </row>
    <row r="4" spans="1:1222" x14ac:dyDescent="0.25">
      <c r="A4">
        <f>GETPIVOTDATA($B$2,"Australia Puglia 'Years (InvoiceDate)'['2022';Count] '9232'")</f>
        <v>1</v>
      </c>
      <c r="C4" t="s">
        <v>51</v>
      </c>
      <c r="I4" t="s">
        <v>999</v>
      </c>
      <c r="J4" t="s">
        <v>1000</v>
      </c>
      <c r="K4" t="s">
        <v>334</v>
      </c>
      <c r="Q4" t="s">
        <v>1001</v>
      </c>
      <c r="R4" t="s">
        <v>1002</v>
      </c>
      <c r="S4" t="s">
        <v>120</v>
      </c>
      <c r="X4" t="s">
        <v>1003</v>
      </c>
      <c r="Y4" t="s">
        <v>1004</v>
      </c>
      <c r="Z4" t="s">
        <v>124</v>
      </c>
      <c r="AD4" t="s">
        <v>1005</v>
      </c>
      <c r="AE4" t="s">
        <v>1006</v>
      </c>
      <c r="AF4" t="s">
        <v>273</v>
      </c>
      <c r="AG4" t="s">
        <v>1007</v>
      </c>
      <c r="AH4" t="s">
        <v>1008</v>
      </c>
      <c r="AJ4" t="s">
        <v>642</v>
      </c>
      <c r="AO4" t="s">
        <v>1009</v>
      </c>
      <c r="AP4" t="s">
        <v>1010</v>
      </c>
      <c r="AQ4" t="s">
        <v>722</v>
      </c>
      <c r="AV4" t="s">
        <v>1011</v>
      </c>
      <c r="AW4" t="s">
        <v>1012</v>
      </c>
      <c r="AX4" t="s">
        <v>98</v>
      </c>
      <c r="BD4" t="s">
        <v>1013</v>
      </c>
      <c r="BE4" t="s">
        <v>1014</v>
      </c>
      <c r="BF4" t="s">
        <v>584</v>
      </c>
      <c r="BK4" t="s">
        <v>1015</v>
      </c>
      <c r="BL4" t="s">
        <v>1016</v>
      </c>
      <c r="BM4" t="s">
        <v>750</v>
      </c>
      <c r="BR4" t="s">
        <v>1017</v>
      </c>
      <c r="BS4" t="s">
        <v>1018</v>
      </c>
      <c r="BT4" t="s">
        <v>655</v>
      </c>
      <c r="BU4" t="s">
        <v>1019</v>
      </c>
      <c r="BV4" t="s">
        <v>1020</v>
      </c>
      <c r="BW4" t="s">
        <v>518</v>
      </c>
      <c r="CB4" t="s">
        <v>1021</v>
      </c>
      <c r="CC4" t="s">
        <v>1022</v>
      </c>
      <c r="CE4" t="s">
        <v>236</v>
      </c>
      <c r="CK4" t="s">
        <v>1023</v>
      </c>
      <c r="CL4" t="s">
        <v>1024</v>
      </c>
      <c r="CM4" t="s">
        <v>705</v>
      </c>
      <c r="CQ4" t="s">
        <v>1025</v>
      </c>
      <c r="CR4" t="s">
        <v>1026</v>
      </c>
      <c r="CS4" t="s">
        <v>24</v>
      </c>
      <c r="CW4" t="s">
        <v>1027</v>
      </c>
      <c r="CX4" t="s">
        <v>1028</v>
      </c>
      <c r="CY4" t="s">
        <v>451</v>
      </c>
      <c r="DD4" t="s">
        <v>1029</v>
      </c>
      <c r="DE4" t="s">
        <v>1030</v>
      </c>
      <c r="DF4" t="s">
        <v>58</v>
      </c>
      <c r="DL4" t="s">
        <v>1031</v>
      </c>
      <c r="DM4" t="s">
        <v>1032</v>
      </c>
      <c r="DN4" t="s">
        <v>106</v>
      </c>
      <c r="DS4" t="s">
        <v>1033</v>
      </c>
      <c r="DT4" t="s">
        <v>1034</v>
      </c>
      <c r="DV4" t="s">
        <v>163</v>
      </c>
      <c r="DW4" t="s">
        <v>1035</v>
      </c>
      <c r="DX4" t="s">
        <v>1036</v>
      </c>
      <c r="DY4" t="s">
        <v>54</v>
      </c>
      <c r="ED4" t="s">
        <v>1037</v>
      </c>
      <c r="EE4" t="s">
        <v>1038</v>
      </c>
      <c r="EG4" t="s">
        <v>232</v>
      </c>
      <c r="EK4" t="s">
        <v>1039</v>
      </c>
      <c r="EL4" t="s">
        <v>1040</v>
      </c>
      <c r="EM4" t="s">
        <v>537</v>
      </c>
      <c r="ER4" t="s">
        <v>1041</v>
      </c>
      <c r="ES4" t="s">
        <v>1042</v>
      </c>
      <c r="ET4" t="s">
        <v>128</v>
      </c>
      <c r="EZ4" t="s">
        <v>1043</v>
      </c>
      <c r="FA4" t="s">
        <v>1044</v>
      </c>
      <c r="FB4" t="s">
        <v>352</v>
      </c>
      <c r="FC4" t="s">
        <v>1045</v>
      </c>
      <c r="FD4" t="s">
        <v>1046</v>
      </c>
      <c r="FE4" t="s">
        <v>483</v>
      </c>
      <c r="FF4" t="s">
        <v>1047</v>
      </c>
      <c r="FG4" t="s">
        <v>1048</v>
      </c>
      <c r="FH4" t="s">
        <v>221</v>
      </c>
      <c r="FI4" t="s">
        <v>1049</v>
      </c>
      <c r="FJ4" t="s">
        <v>1050</v>
      </c>
      <c r="FK4" t="s">
        <v>621</v>
      </c>
      <c r="FP4" t="s">
        <v>1051</v>
      </c>
      <c r="FQ4" t="s">
        <v>1052</v>
      </c>
      <c r="FR4" t="s">
        <v>315</v>
      </c>
      <c r="FV4" t="s">
        <v>1053</v>
      </c>
      <c r="FW4" t="s">
        <v>1054</v>
      </c>
      <c r="FY4" t="s">
        <v>414</v>
      </c>
      <c r="GE4" t="s">
        <v>1055</v>
      </c>
      <c r="GF4" t="s">
        <v>1056</v>
      </c>
      <c r="GG4" t="s">
        <v>59</v>
      </c>
      <c r="GK4" t="s">
        <v>1057</v>
      </c>
      <c r="GL4" t="s">
        <v>1058</v>
      </c>
      <c r="GN4" t="s">
        <v>679</v>
      </c>
      <c r="GR4" t="s">
        <v>1059</v>
      </c>
      <c r="GS4" t="s">
        <v>1060</v>
      </c>
      <c r="GT4" t="s">
        <v>296</v>
      </c>
      <c r="GU4" t="s">
        <v>1061</v>
      </c>
      <c r="GV4" t="s">
        <v>1062</v>
      </c>
      <c r="GX4" t="s">
        <v>35</v>
      </c>
      <c r="HB4" t="s">
        <v>1063</v>
      </c>
      <c r="HC4" t="s">
        <v>1064</v>
      </c>
      <c r="HD4" t="s">
        <v>652</v>
      </c>
      <c r="HH4" t="s">
        <v>1065</v>
      </c>
      <c r="HI4" t="s">
        <v>1066</v>
      </c>
      <c r="HJ4" t="s">
        <v>717</v>
      </c>
      <c r="HK4" t="s">
        <v>1067</v>
      </c>
      <c r="HL4" t="s">
        <v>1068</v>
      </c>
      <c r="HN4" t="s">
        <v>41</v>
      </c>
      <c r="HS4" t="s">
        <v>1069</v>
      </c>
      <c r="HT4" t="s">
        <v>1070</v>
      </c>
      <c r="HU4" t="s">
        <v>265</v>
      </c>
      <c r="HZ4" t="s">
        <v>1071</v>
      </c>
      <c r="IA4" t="s">
        <v>1072</v>
      </c>
      <c r="IB4" t="s">
        <v>10</v>
      </c>
      <c r="IF4" t="s">
        <v>1073</v>
      </c>
      <c r="IG4" t="s">
        <v>1074</v>
      </c>
      <c r="IH4" t="s">
        <v>56</v>
      </c>
      <c r="II4" t="s">
        <v>1075</v>
      </c>
      <c r="IJ4" t="s">
        <v>1076</v>
      </c>
      <c r="IL4" t="s">
        <v>236</v>
      </c>
      <c r="IP4" t="s">
        <v>1023</v>
      </c>
      <c r="IQ4" t="s">
        <v>1024</v>
      </c>
      <c r="IR4" t="s">
        <v>410</v>
      </c>
      <c r="IV4" t="s">
        <v>1077</v>
      </c>
      <c r="IW4" t="s">
        <v>1078</v>
      </c>
      <c r="IX4" t="s">
        <v>265</v>
      </c>
      <c r="JD4" t="s">
        <v>1071</v>
      </c>
      <c r="JE4" t="s">
        <v>1072</v>
      </c>
      <c r="JF4" t="s">
        <v>88</v>
      </c>
      <c r="JJ4" t="s">
        <v>1079</v>
      </c>
      <c r="JK4" t="s">
        <v>1080</v>
      </c>
      <c r="JM4" t="s">
        <v>652</v>
      </c>
      <c r="JR4" t="s">
        <v>1065</v>
      </c>
      <c r="JS4" t="s">
        <v>1066</v>
      </c>
      <c r="JT4" t="s">
        <v>177</v>
      </c>
      <c r="JY4" t="s">
        <v>1081</v>
      </c>
      <c r="JZ4" t="s">
        <v>1082</v>
      </c>
      <c r="KA4" t="s">
        <v>698</v>
      </c>
      <c r="KB4" t="s">
        <v>1083</v>
      </c>
      <c r="KC4" t="s">
        <v>1084</v>
      </c>
      <c r="KD4" t="s">
        <v>67</v>
      </c>
      <c r="KI4" t="s">
        <v>1085</v>
      </c>
      <c r="KJ4" t="s">
        <v>1086</v>
      </c>
      <c r="KK4" t="s">
        <v>425</v>
      </c>
      <c r="KO4" t="s">
        <v>1087</v>
      </c>
      <c r="KP4" t="s">
        <v>1088</v>
      </c>
      <c r="KQ4" t="s">
        <v>805</v>
      </c>
      <c r="KU4" t="s">
        <v>1089</v>
      </c>
      <c r="KV4" t="s">
        <v>1090</v>
      </c>
      <c r="KX4" t="s">
        <v>236</v>
      </c>
      <c r="LD4" t="s">
        <v>1023</v>
      </c>
      <c r="LE4" t="s">
        <v>1024</v>
      </c>
      <c r="LF4" t="s">
        <v>541</v>
      </c>
      <c r="LK4" t="s">
        <v>1091</v>
      </c>
      <c r="LL4" t="s">
        <v>1092</v>
      </c>
      <c r="LM4" t="s">
        <v>62</v>
      </c>
      <c r="LR4" t="s">
        <v>1093</v>
      </c>
      <c r="LS4" t="s">
        <v>1094</v>
      </c>
      <c r="LT4" t="s">
        <v>533</v>
      </c>
      <c r="LX4" t="s">
        <v>1095</v>
      </c>
      <c r="LY4" t="s">
        <v>1096</v>
      </c>
      <c r="LZ4" t="s">
        <v>545</v>
      </c>
      <c r="MA4" t="s">
        <v>1097</v>
      </c>
      <c r="MB4" t="s">
        <v>1098</v>
      </c>
      <c r="MC4" t="s">
        <v>221</v>
      </c>
      <c r="MH4" t="s">
        <v>1049</v>
      </c>
      <c r="MI4" t="s">
        <v>1050</v>
      </c>
      <c r="MJ4" t="s">
        <v>580</v>
      </c>
      <c r="MP4" t="s">
        <v>1099</v>
      </c>
      <c r="MQ4" t="s">
        <v>1100</v>
      </c>
      <c r="MR4" t="s">
        <v>145</v>
      </c>
      <c r="MX4" t="s">
        <v>1101</v>
      </c>
      <c r="MY4" t="s">
        <v>1102</v>
      </c>
      <c r="NA4" t="s">
        <v>260</v>
      </c>
      <c r="NF4" t="s">
        <v>1103</v>
      </c>
      <c r="NG4" t="s">
        <v>1104</v>
      </c>
      <c r="NH4" t="s">
        <v>65</v>
      </c>
      <c r="NI4" t="s">
        <v>1105</v>
      </c>
      <c r="NJ4" t="s">
        <v>1106</v>
      </c>
      <c r="NK4" t="s">
        <v>10</v>
      </c>
      <c r="NO4" t="s">
        <v>1073</v>
      </c>
      <c r="NP4" t="s">
        <v>1074</v>
      </c>
      <c r="NQ4" t="s">
        <v>421</v>
      </c>
      <c r="NU4" t="s">
        <v>1107</v>
      </c>
      <c r="NV4" t="s">
        <v>1108</v>
      </c>
      <c r="NW4" t="s">
        <v>429</v>
      </c>
      <c r="OB4" t="s">
        <v>1109</v>
      </c>
      <c r="OC4" t="s">
        <v>1110</v>
      </c>
      <c r="OE4" t="s">
        <v>687</v>
      </c>
      <c r="OI4" t="s">
        <v>1111</v>
      </c>
      <c r="OJ4" t="s">
        <v>1112</v>
      </c>
      <c r="OK4" t="s">
        <v>500</v>
      </c>
      <c r="OO4" t="s">
        <v>1113</v>
      </c>
      <c r="OP4" t="s">
        <v>1114</v>
      </c>
      <c r="OQ4" t="s">
        <v>50</v>
      </c>
      <c r="OV4" t="s">
        <v>1115</v>
      </c>
      <c r="OW4" t="s">
        <v>1116</v>
      </c>
      <c r="OX4" t="s">
        <v>243</v>
      </c>
      <c r="OY4" t="s">
        <v>1117</v>
      </c>
      <c r="OZ4" t="s">
        <v>1118</v>
      </c>
      <c r="PA4" t="s">
        <v>672</v>
      </c>
      <c r="PE4" t="s">
        <v>1119</v>
      </c>
      <c r="PF4" t="s">
        <v>1120</v>
      </c>
      <c r="PG4" t="s">
        <v>565</v>
      </c>
      <c r="PH4" t="s">
        <v>1121</v>
      </c>
      <c r="PI4" t="s">
        <v>1122</v>
      </c>
      <c r="PK4" t="s">
        <v>401</v>
      </c>
      <c r="PQ4" t="s">
        <v>1123</v>
      </c>
      <c r="PR4" t="s">
        <v>1124</v>
      </c>
      <c r="PS4" t="s">
        <v>764</v>
      </c>
      <c r="PT4" t="s">
        <v>1125</v>
      </c>
      <c r="PU4" t="s">
        <v>1126</v>
      </c>
      <c r="PV4" t="s">
        <v>370</v>
      </c>
      <c r="PW4" t="s">
        <v>1127</v>
      </c>
      <c r="PX4" t="s">
        <v>1128</v>
      </c>
      <c r="PY4" t="s">
        <v>69</v>
      </c>
      <c r="QC4" t="s">
        <v>1129</v>
      </c>
      <c r="QD4" t="s">
        <v>1130</v>
      </c>
      <c r="QE4" t="s">
        <v>25</v>
      </c>
      <c r="QK4" t="s">
        <v>1131</v>
      </c>
      <c r="QL4" t="s">
        <v>1132</v>
      </c>
      <c r="QM4" t="s">
        <v>228</v>
      </c>
      <c r="QN4" t="s">
        <v>1133</v>
      </c>
      <c r="QO4" t="s">
        <v>1134</v>
      </c>
      <c r="QP4" t="s">
        <v>759</v>
      </c>
      <c r="QT4" t="s">
        <v>1135</v>
      </c>
      <c r="QU4" t="s">
        <v>1136</v>
      </c>
      <c r="QV4" t="s">
        <v>518</v>
      </c>
      <c r="RA4" t="s">
        <v>1021</v>
      </c>
      <c r="RB4" t="s">
        <v>1022</v>
      </c>
      <c r="RD4" t="s">
        <v>687</v>
      </c>
      <c r="RE4" t="s">
        <v>1111</v>
      </c>
      <c r="RF4" t="s">
        <v>1112</v>
      </c>
      <c r="RH4" t="s">
        <v>57</v>
      </c>
      <c r="RM4" t="s">
        <v>1137</v>
      </c>
      <c r="RN4" t="s">
        <v>1138</v>
      </c>
      <c r="RO4" t="s">
        <v>77</v>
      </c>
      <c r="RT4" t="s">
        <v>1139</v>
      </c>
      <c r="RU4" t="s">
        <v>1140</v>
      </c>
      <c r="RV4" t="s">
        <v>70</v>
      </c>
      <c r="RZ4" t="s">
        <v>1141</v>
      </c>
      <c r="SA4" t="s">
        <v>1142</v>
      </c>
      <c r="SB4" t="s">
        <v>243</v>
      </c>
      <c r="SF4" t="s">
        <v>1117</v>
      </c>
      <c r="SG4" t="s">
        <v>1118</v>
      </c>
      <c r="SH4" t="s">
        <v>11</v>
      </c>
      <c r="SI4" t="s">
        <v>1143</v>
      </c>
      <c r="SJ4" t="s">
        <v>1144</v>
      </c>
      <c r="SK4" t="s">
        <v>466</v>
      </c>
      <c r="SO4" t="s">
        <v>1145</v>
      </c>
      <c r="SP4" t="s">
        <v>1146</v>
      </c>
      <c r="SQ4" t="s">
        <v>255</v>
      </c>
      <c r="SW4" t="s">
        <v>1147</v>
      </c>
      <c r="SX4" t="s">
        <v>1148</v>
      </c>
      <c r="SY4" t="s">
        <v>691</v>
      </c>
      <c r="TC4" t="s">
        <v>1149</v>
      </c>
      <c r="TD4" t="s">
        <v>1150</v>
      </c>
      <c r="TF4" t="s">
        <v>63</v>
      </c>
      <c r="TG4" t="s">
        <v>1151</v>
      </c>
      <c r="TH4" t="s">
        <v>1152</v>
      </c>
      <c r="TJ4" t="s">
        <v>115</v>
      </c>
      <c r="TN4" t="s">
        <v>1153</v>
      </c>
      <c r="TO4" t="s">
        <v>1154</v>
      </c>
      <c r="TP4" t="s">
        <v>558</v>
      </c>
      <c r="TQ4" t="s">
        <v>1155</v>
      </c>
      <c r="TR4" t="s">
        <v>1156</v>
      </c>
      <c r="TS4" t="s">
        <v>743</v>
      </c>
      <c r="TY4" t="s">
        <v>1157</v>
      </c>
      <c r="TZ4" t="s">
        <v>1158</v>
      </c>
      <c r="UA4" t="s">
        <v>462</v>
      </c>
      <c r="UG4" t="s">
        <v>1159</v>
      </c>
      <c r="UH4" t="s">
        <v>1160</v>
      </c>
      <c r="UJ4" t="s">
        <v>754</v>
      </c>
      <c r="UN4" t="s">
        <v>1161</v>
      </c>
      <c r="UO4" t="s">
        <v>1162</v>
      </c>
      <c r="UP4" t="s">
        <v>405</v>
      </c>
      <c r="UT4" t="s">
        <v>1163</v>
      </c>
      <c r="UU4" t="s">
        <v>1164</v>
      </c>
      <c r="UV4" t="s">
        <v>8</v>
      </c>
      <c r="VB4" t="s">
        <v>1165</v>
      </c>
      <c r="VC4" t="s">
        <v>1166</v>
      </c>
      <c r="VD4" t="s">
        <v>383</v>
      </c>
      <c r="VJ4" t="s">
        <v>1167</v>
      </c>
      <c r="VK4" t="s">
        <v>1168</v>
      </c>
      <c r="VL4" t="s">
        <v>21</v>
      </c>
      <c r="VR4" t="s">
        <v>1169</v>
      </c>
      <c r="VS4" t="s">
        <v>1170</v>
      </c>
      <c r="VU4" t="s">
        <v>617</v>
      </c>
      <c r="VY4" t="s">
        <v>1171</v>
      </c>
      <c r="VZ4" t="s">
        <v>1172</v>
      </c>
      <c r="WA4" t="s">
        <v>60</v>
      </c>
      <c r="WF4" t="s">
        <v>1173</v>
      </c>
      <c r="WG4" t="s">
        <v>1174</v>
      </c>
      <c r="WH4" t="s">
        <v>551</v>
      </c>
      <c r="WM4" t="s">
        <v>1175</v>
      </c>
      <c r="WN4" t="s">
        <v>1176</v>
      </c>
      <c r="WO4" t="s">
        <v>676</v>
      </c>
      <c r="WT4" t="s">
        <v>1177</v>
      </c>
      <c r="WU4" t="s">
        <v>1178</v>
      </c>
      <c r="WV4" t="s">
        <v>52</v>
      </c>
      <c r="WW4" t="s">
        <v>1179</v>
      </c>
      <c r="WX4" t="s">
        <v>1180</v>
      </c>
      <c r="WZ4" t="s">
        <v>110</v>
      </c>
      <c r="XD4" t="s">
        <v>1181</v>
      </c>
      <c r="XE4" t="s">
        <v>1182</v>
      </c>
      <c r="XF4" t="s">
        <v>137</v>
      </c>
      <c r="XK4" t="s">
        <v>1183</v>
      </c>
      <c r="XL4" t="s">
        <v>1184</v>
      </c>
      <c r="XM4" t="s">
        <v>51</v>
      </c>
      <c r="XQ4" t="s">
        <v>999</v>
      </c>
      <c r="XR4" t="s">
        <v>1000</v>
      </c>
      <c r="XS4" t="s">
        <v>487</v>
      </c>
      <c r="XW4" t="s">
        <v>1185</v>
      </c>
      <c r="XX4" t="s">
        <v>1186</v>
      </c>
      <c r="XY4" t="s">
        <v>211</v>
      </c>
      <c r="YD4" t="s">
        <v>1187</v>
      </c>
      <c r="YE4" t="s">
        <v>1188</v>
      </c>
      <c r="YF4" t="s">
        <v>683</v>
      </c>
      <c r="YK4" t="s">
        <v>1189</v>
      </c>
      <c r="YL4" t="s">
        <v>1190</v>
      </c>
      <c r="YM4" t="s">
        <v>511</v>
      </c>
      <c r="YR4" t="s">
        <v>1191</v>
      </c>
      <c r="YS4" t="s">
        <v>1192</v>
      </c>
      <c r="YT4" t="s">
        <v>251</v>
      </c>
      <c r="YX4" t="s">
        <v>1193</v>
      </c>
      <c r="YY4" t="s">
        <v>1194</v>
      </c>
      <c r="YZ4" t="s">
        <v>479</v>
      </c>
      <c r="ZE4" t="s">
        <v>1195</v>
      </c>
      <c r="ZF4" t="s">
        <v>1196</v>
      </c>
      <c r="ZH4" t="s">
        <v>589</v>
      </c>
      <c r="ZM4" t="s">
        <v>1197</v>
      </c>
      <c r="ZN4" t="s">
        <v>1198</v>
      </c>
      <c r="ZO4" t="s">
        <v>24</v>
      </c>
      <c r="ZS4" t="s">
        <v>1027</v>
      </c>
      <c r="ZT4" t="s">
        <v>1028</v>
      </c>
      <c r="ZU4" t="s">
        <v>360</v>
      </c>
      <c r="AAA4" t="s">
        <v>1199</v>
      </c>
      <c r="AAB4" t="s">
        <v>1200</v>
      </c>
      <c r="AAC4" t="s">
        <v>370</v>
      </c>
      <c r="AAG4" t="s">
        <v>1127</v>
      </c>
      <c r="AAH4" t="s">
        <v>1128</v>
      </c>
      <c r="AAI4" t="s">
        <v>25</v>
      </c>
      <c r="AAO4" t="s">
        <v>1131</v>
      </c>
      <c r="AAP4" t="s">
        <v>1132</v>
      </c>
      <c r="AAQ4" t="s">
        <v>102</v>
      </c>
      <c r="AAU4" t="s">
        <v>1201</v>
      </c>
      <c r="AAV4" t="s">
        <v>1202</v>
      </c>
      <c r="AAW4" t="s">
        <v>281</v>
      </c>
      <c r="AAX4" t="s">
        <v>1203</v>
      </c>
      <c r="AAY4" t="s">
        <v>1204</v>
      </c>
      <c r="AAZ4" t="s">
        <v>425</v>
      </c>
      <c r="ABA4" t="s">
        <v>1087</v>
      </c>
      <c r="ABB4" t="s">
        <v>1088</v>
      </c>
      <c r="ABC4" t="s">
        <v>58</v>
      </c>
      <c r="ABH4" t="s">
        <v>1031</v>
      </c>
      <c r="ABI4" t="s">
        <v>1032</v>
      </c>
      <c r="ABJ4" t="s">
        <v>797</v>
      </c>
      <c r="ABP4" t="s">
        <v>1205</v>
      </c>
      <c r="ABQ4" t="s">
        <v>1206</v>
      </c>
      <c r="ABS4" t="s">
        <v>55</v>
      </c>
      <c r="ABX4" t="s">
        <v>1207</v>
      </c>
      <c r="ABY4" t="s">
        <v>1208</v>
      </c>
      <c r="ABZ4" t="s">
        <v>49</v>
      </c>
      <c r="ACD4" t="s">
        <v>1209</v>
      </c>
      <c r="ACE4" t="s">
        <v>1210</v>
      </c>
      <c r="ACF4" t="s">
        <v>811</v>
      </c>
      <c r="ACL4" t="s">
        <v>1211</v>
      </c>
      <c r="ACM4" t="s">
        <v>1212</v>
      </c>
      <c r="ACN4" t="s">
        <v>323</v>
      </c>
      <c r="ACS4" t="s">
        <v>1213</v>
      </c>
      <c r="ACT4" t="s">
        <v>1214</v>
      </c>
      <c r="ACU4" t="s">
        <v>348</v>
      </c>
      <c r="ACV4" t="s">
        <v>1215</v>
      </c>
      <c r="ACW4" t="s">
        <v>1216</v>
      </c>
      <c r="ACX4" t="s">
        <v>52</v>
      </c>
      <c r="ACY4" t="s">
        <v>1179</v>
      </c>
      <c r="ACZ4" t="s">
        <v>1180</v>
      </c>
      <c r="ADA4" t="s">
        <v>215</v>
      </c>
      <c r="ADG4" t="s">
        <v>1217</v>
      </c>
      <c r="ADH4" t="s">
        <v>1218</v>
      </c>
      <c r="ADJ4" t="s">
        <v>728</v>
      </c>
      <c r="ADO4" t="s">
        <v>1219</v>
      </c>
      <c r="ADP4" t="s">
        <v>1220</v>
      </c>
      <c r="ADQ4" t="s">
        <v>458</v>
      </c>
      <c r="ADU4" t="s">
        <v>1221</v>
      </c>
      <c r="ADV4" t="s">
        <v>1222</v>
      </c>
      <c r="ADW4" t="s">
        <v>356</v>
      </c>
      <c r="AEA4" t="s">
        <v>1223</v>
      </c>
      <c r="AEB4" t="s">
        <v>1224</v>
      </c>
      <c r="AEC4" t="s">
        <v>208</v>
      </c>
      <c r="AED4" t="s">
        <v>1225</v>
      </c>
      <c r="AEE4" t="s">
        <v>1226</v>
      </c>
      <c r="AEF4" t="s">
        <v>25</v>
      </c>
      <c r="AEJ4" t="s">
        <v>1131</v>
      </c>
      <c r="AEK4" t="s">
        <v>1132</v>
      </c>
      <c r="AEL4" t="s">
        <v>58</v>
      </c>
      <c r="AER4" t="s">
        <v>1031</v>
      </c>
      <c r="AES4" t="s">
        <v>1032</v>
      </c>
      <c r="AET4" t="s">
        <v>85</v>
      </c>
      <c r="AEY4" t="s">
        <v>1227</v>
      </c>
      <c r="AEZ4" t="s">
        <v>1228</v>
      </c>
      <c r="AFA4" t="s">
        <v>10</v>
      </c>
      <c r="AFG4" t="s">
        <v>1073</v>
      </c>
      <c r="AFH4" t="s">
        <v>1074</v>
      </c>
      <c r="AFI4" t="s">
        <v>621</v>
      </c>
      <c r="AFM4" t="s">
        <v>1051</v>
      </c>
      <c r="AFN4" t="s">
        <v>1052</v>
      </c>
      <c r="AFO4" t="s">
        <v>596</v>
      </c>
      <c r="AFT4" t="s">
        <v>1229</v>
      </c>
      <c r="AFU4" t="s">
        <v>1230</v>
      </c>
      <c r="AFW4" t="s">
        <v>198</v>
      </c>
      <c r="AGA4" t="s">
        <v>1231</v>
      </c>
      <c r="AGB4" t="s">
        <v>1232</v>
      </c>
      <c r="AGC4" t="s">
        <v>68</v>
      </c>
      <c r="AGH4" t="s">
        <v>1233</v>
      </c>
      <c r="AGI4" t="s">
        <v>1234</v>
      </c>
      <c r="AGJ4" t="s">
        <v>6</v>
      </c>
      <c r="AGK4" t="s">
        <v>1235</v>
      </c>
      <c r="AGL4" t="s">
        <v>1236</v>
      </c>
      <c r="AGM4" t="s">
        <v>45</v>
      </c>
      <c r="AGQ4" t="s">
        <v>1237</v>
      </c>
      <c r="AGR4" t="s">
        <v>1238</v>
      </c>
      <c r="AGS4" t="s">
        <v>218</v>
      </c>
      <c r="AGY4" t="s">
        <v>1239</v>
      </c>
      <c r="AGZ4" t="s">
        <v>1240</v>
      </c>
      <c r="AHA4" t="s">
        <v>444</v>
      </c>
      <c r="AHB4" t="s">
        <v>1241</v>
      </c>
      <c r="AHC4" t="s">
        <v>1242</v>
      </c>
      <c r="AHD4" t="s">
        <v>67</v>
      </c>
      <c r="AHH4" t="s">
        <v>1085</v>
      </c>
      <c r="AHI4" t="s">
        <v>1086</v>
      </c>
      <c r="AHJ4" t="s">
        <v>251</v>
      </c>
      <c r="AHO4" t="s">
        <v>1193</v>
      </c>
      <c r="AHP4" t="s">
        <v>1194</v>
      </c>
      <c r="AHR4" t="s">
        <v>68</v>
      </c>
      <c r="AHS4" t="s">
        <v>1233</v>
      </c>
      <c r="AHT4" t="s">
        <v>1234</v>
      </c>
      <c r="AHU4" t="s">
        <v>307</v>
      </c>
      <c r="AHY4" t="s">
        <v>1243</v>
      </c>
      <c r="AHZ4" t="s">
        <v>1244</v>
      </c>
      <c r="AIA4" t="s">
        <v>694</v>
      </c>
      <c r="AIE4" t="s">
        <v>1245</v>
      </c>
      <c r="AIF4" t="s">
        <v>1246</v>
      </c>
      <c r="AIG4" t="s">
        <v>91</v>
      </c>
      <c r="AIL4" t="s">
        <v>1247</v>
      </c>
      <c r="AIM4" t="s">
        <v>1248</v>
      </c>
      <c r="AIN4" t="s">
        <v>26</v>
      </c>
      <c r="AIT4" t="s">
        <v>1249</v>
      </c>
      <c r="AIU4" t="s">
        <v>1250</v>
      </c>
      <c r="AIW4" t="s">
        <v>31</v>
      </c>
      <c r="AJA4" t="s">
        <v>1251</v>
      </c>
      <c r="AJB4" t="s">
        <v>1252</v>
      </c>
      <c r="AJC4" t="s">
        <v>225</v>
      </c>
      <c r="AJD4" t="s">
        <v>1253</v>
      </c>
      <c r="AJE4" t="s">
        <v>1254</v>
      </c>
      <c r="AJF4" t="s">
        <v>132</v>
      </c>
      <c r="AJK4" t="s">
        <v>1255</v>
      </c>
      <c r="AJL4" t="s">
        <v>1256</v>
      </c>
      <c r="AJM4" t="s">
        <v>255</v>
      </c>
      <c r="AJR4" t="s">
        <v>1147</v>
      </c>
      <c r="AJS4" t="s">
        <v>1148</v>
      </c>
      <c r="AJT4" t="s">
        <v>269</v>
      </c>
      <c r="AJX4" t="s">
        <v>1257</v>
      </c>
      <c r="AJY4" t="s">
        <v>1258</v>
      </c>
      <c r="AJZ4" t="s">
        <v>145</v>
      </c>
      <c r="AKA4" t="s">
        <v>1101</v>
      </c>
      <c r="AKB4" t="s">
        <v>1102</v>
      </c>
      <c r="AKD4" t="s">
        <v>167</v>
      </c>
      <c r="AKE4" t="s">
        <v>1259</v>
      </c>
      <c r="AKF4" t="s">
        <v>1260</v>
      </c>
      <c r="AKG4" t="s">
        <v>607</v>
      </c>
      <c r="AKL4" t="s">
        <v>1261</v>
      </c>
      <c r="AKM4" t="s">
        <v>1262</v>
      </c>
      <c r="AKN4" t="s">
        <v>528</v>
      </c>
      <c r="AKR4" t="s">
        <v>1263</v>
      </c>
      <c r="AKS4" t="s">
        <v>1264</v>
      </c>
      <c r="AKT4" t="s">
        <v>507</v>
      </c>
      <c r="AKX4" t="s">
        <v>1265</v>
      </c>
      <c r="AKY4" t="s">
        <v>1266</v>
      </c>
      <c r="AKZ4" t="s">
        <v>475</v>
      </c>
      <c r="ALE4" t="s">
        <v>1267</v>
      </c>
      <c r="ALF4" t="s">
        <v>1268</v>
      </c>
      <c r="ALG4" t="s">
        <v>106</v>
      </c>
      <c r="ALH4" t="s">
        <v>1033</v>
      </c>
      <c r="ALI4" t="s">
        <v>1034</v>
      </c>
      <c r="ALJ4" t="s">
        <v>635</v>
      </c>
      <c r="ALK4" t="s">
        <v>1269</v>
      </c>
      <c r="ALL4" t="s">
        <v>1270</v>
      </c>
      <c r="ALM4" t="s">
        <v>777</v>
      </c>
      <c r="ALQ4" t="s">
        <v>1271</v>
      </c>
      <c r="ALR4" t="s">
        <v>1272</v>
      </c>
      <c r="ALS4" t="s">
        <v>518</v>
      </c>
      <c r="ALT4" t="s">
        <v>1021</v>
      </c>
      <c r="ALU4" t="s">
        <v>1022</v>
      </c>
      <c r="ALW4" t="s">
        <v>768</v>
      </c>
      <c r="ALX4" t="s">
        <v>1273</v>
      </c>
      <c r="ALY4" t="s">
        <v>1274</v>
      </c>
      <c r="ALZ4" t="s">
        <v>493</v>
      </c>
      <c r="AME4" t="s">
        <v>1275</v>
      </c>
      <c r="AMF4" t="s">
        <v>1276</v>
      </c>
      <c r="AMG4" t="s">
        <v>379</v>
      </c>
      <c r="AMK4" t="s">
        <v>1277</v>
      </c>
      <c r="AML4" t="s">
        <v>1278</v>
      </c>
      <c r="AMM4" t="s">
        <v>433</v>
      </c>
      <c r="AMR4" t="s">
        <v>1279</v>
      </c>
      <c r="AMS4" t="s">
        <v>1280</v>
      </c>
      <c r="AMT4" t="s">
        <v>154</v>
      </c>
      <c r="AMU4" t="s">
        <v>1281</v>
      </c>
      <c r="AMV4" t="s">
        <v>1282</v>
      </c>
      <c r="AMW4" t="s">
        <v>635</v>
      </c>
      <c r="AMX4" t="s">
        <v>1269</v>
      </c>
      <c r="AMY4" t="s">
        <v>1270</v>
      </c>
      <c r="AMZ4" t="s">
        <v>387</v>
      </c>
      <c r="ANE4" t="s">
        <v>1283</v>
      </c>
      <c r="ANF4" t="s">
        <v>1284</v>
      </c>
      <c r="ANG4" t="s">
        <v>462</v>
      </c>
      <c r="ANK4" t="s">
        <v>1159</v>
      </c>
      <c r="ANL4" t="s">
        <v>1160</v>
      </c>
      <c r="ANN4" t="s">
        <v>46</v>
      </c>
      <c r="ANS4" t="s">
        <v>1285</v>
      </c>
      <c r="ANT4" t="s">
        <v>1286</v>
      </c>
      <c r="ANU4" t="s">
        <v>307</v>
      </c>
      <c r="ANV4" t="s">
        <v>1243</v>
      </c>
      <c r="ANW4" t="s">
        <v>1244</v>
      </c>
      <c r="ANX4" t="s">
        <v>614</v>
      </c>
      <c r="AOB4" t="s">
        <v>1287</v>
      </c>
      <c r="AOC4" t="s">
        <v>1288</v>
      </c>
      <c r="AOD4" t="s">
        <v>311</v>
      </c>
      <c r="AOI4" t="s">
        <v>1289</v>
      </c>
      <c r="AOJ4" t="s">
        <v>1290</v>
      </c>
      <c r="AOK4" t="s">
        <v>132</v>
      </c>
      <c r="AOO4" t="s">
        <v>1255</v>
      </c>
      <c r="AOP4" t="s">
        <v>1256</v>
      </c>
      <c r="AOQ4" t="s">
        <v>255</v>
      </c>
      <c r="AOV4" t="s">
        <v>1147</v>
      </c>
      <c r="AOW4" t="s">
        <v>1148</v>
      </c>
      <c r="AOX4" t="s">
        <v>43</v>
      </c>
      <c r="APC4" t="s">
        <v>1291</v>
      </c>
      <c r="APD4" t="s">
        <v>1292</v>
      </c>
      <c r="APE4" t="s">
        <v>343</v>
      </c>
      <c r="APJ4" t="s">
        <v>1293</v>
      </c>
      <c r="APK4" t="s">
        <v>1294</v>
      </c>
      <c r="APM4" t="s">
        <v>186</v>
      </c>
      <c r="APQ4" t="s">
        <v>1295</v>
      </c>
      <c r="APR4" t="s">
        <v>1296</v>
      </c>
      <c r="APS4" t="s">
        <v>70</v>
      </c>
      <c r="APW4" t="s">
        <v>1141</v>
      </c>
      <c r="APX4" t="s">
        <v>1142</v>
      </c>
      <c r="APY4" t="s">
        <v>437</v>
      </c>
      <c r="AQC4" t="s">
        <v>1297</v>
      </c>
      <c r="AQD4" t="s">
        <v>1298</v>
      </c>
      <c r="AQF4" t="s">
        <v>339</v>
      </c>
      <c r="AQL4" t="s">
        <v>1299</v>
      </c>
      <c r="AQM4" t="s">
        <v>1300</v>
      </c>
      <c r="AQN4" t="s">
        <v>81</v>
      </c>
      <c r="AQS4" t="s">
        <v>1301</v>
      </c>
      <c r="AQT4" t="s">
        <v>1302</v>
      </c>
      <c r="AQU4" t="s">
        <v>177</v>
      </c>
      <c r="AQY4" t="s">
        <v>1081</v>
      </c>
      <c r="AQZ4" t="s">
        <v>1082</v>
      </c>
      <c r="ARA4" t="s">
        <v>289</v>
      </c>
      <c r="ARG4" t="s">
        <v>1303</v>
      </c>
      <c r="ARH4" t="s">
        <v>1304</v>
      </c>
      <c r="ARI4" t="s">
        <v>525</v>
      </c>
      <c r="ARJ4" t="s">
        <v>1305</v>
      </c>
      <c r="ARK4" t="s">
        <v>1306</v>
      </c>
      <c r="ARL4" t="s">
        <v>471</v>
      </c>
      <c r="ARM4" t="s">
        <v>1307</v>
      </c>
      <c r="ARN4" t="s">
        <v>1308</v>
      </c>
      <c r="ARO4" t="s">
        <v>29</v>
      </c>
      <c r="ARS4" t="s">
        <v>1309</v>
      </c>
      <c r="ART4" t="s">
        <v>1310</v>
      </c>
      <c r="ARV4" t="s">
        <v>191</v>
      </c>
      <c r="ARW4" t="s">
        <v>1311</v>
      </c>
      <c r="ARX4" t="s">
        <v>1312</v>
      </c>
      <c r="ARY4" t="s">
        <v>790</v>
      </c>
      <c r="ASE4" t="s">
        <v>1313</v>
      </c>
      <c r="ASF4" t="s">
        <v>1314</v>
      </c>
      <c r="ASG4" t="s">
        <v>405</v>
      </c>
      <c r="ASK4" t="s">
        <v>1163</v>
      </c>
      <c r="ASL4" t="s">
        <v>1164</v>
      </c>
      <c r="ASM4" t="s">
        <v>330</v>
      </c>
      <c r="ASR4" t="s">
        <v>1315</v>
      </c>
      <c r="ASS4" t="s">
        <v>1316</v>
      </c>
      <c r="AST4" t="s">
        <v>739</v>
      </c>
      <c r="ASX4" t="s">
        <v>1317</v>
      </c>
      <c r="ASY4" t="s">
        <v>1318</v>
      </c>
      <c r="ASZ4" t="s">
        <v>462</v>
      </c>
      <c r="ATF4" t="s">
        <v>1159</v>
      </c>
      <c r="ATG4" t="s">
        <v>1160</v>
      </c>
      <c r="ATI4" t="s">
        <v>39</v>
      </c>
      <c r="ATN4" t="s">
        <v>1319</v>
      </c>
      <c r="ATO4" t="s">
        <v>1320</v>
      </c>
      <c r="ATP4" t="s">
        <v>181</v>
      </c>
      <c r="ATQ4" t="s">
        <v>1321</v>
      </c>
      <c r="ATR4" t="s">
        <v>1322</v>
      </c>
      <c r="ATS4" t="s">
        <v>365</v>
      </c>
      <c r="ATT4" t="s">
        <v>1323</v>
      </c>
      <c r="ATU4" t="s">
        <v>1324</v>
      </c>
      <c r="ATV4" t="s">
        <v>159</v>
      </c>
      <c r="ATW4" t="s">
        <v>1325</v>
      </c>
      <c r="ATX4" t="s">
        <v>1326</v>
      </c>
    </row>
    <row r="5" spans="1:1222" x14ac:dyDescent="0.25">
      <c r="A5">
        <f>GETPIVOTDATA($B$2,"Australia Puglia 'Years (InvoiceDate)'['2022';Max] '2251'")</f>
        <v>0</v>
      </c>
      <c r="C5" t="s">
        <v>976</v>
      </c>
      <c r="F5" t="s">
        <v>1362</v>
      </c>
      <c r="G5" t="s">
        <v>1363</v>
      </c>
      <c r="H5" t="s">
        <v>1362</v>
      </c>
      <c r="K5" t="s">
        <v>977</v>
      </c>
      <c r="N5" t="s">
        <v>997</v>
      </c>
      <c r="O5" t="s">
        <v>998</v>
      </c>
      <c r="P5" t="s">
        <v>997</v>
      </c>
      <c r="S5" t="s">
        <v>978</v>
      </c>
      <c r="U5" t="s">
        <v>984</v>
      </c>
      <c r="V5" t="s">
        <v>985</v>
      </c>
      <c r="W5" t="s">
        <v>984</v>
      </c>
      <c r="Z5" t="s">
        <v>978</v>
      </c>
      <c r="AA5" t="s">
        <v>984</v>
      </c>
      <c r="AB5" t="s">
        <v>985</v>
      </c>
      <c r="AC5" t="s">
        <v>984</v>
      </c>
      <c r="AF5" t="s">
        <v>979</v>
      </c>
      <c r="AJ5" t="s">
        <v>976</v>
      </c>
      <c r="AL5" t="s">
        <v>1362</v>
      </c>
      <c r="AM5" t="s">
        <v>1363</v>
      </c>
      <c r="AN5" t="s">
        <v>1362</v>
      </c>
      <c r="AQ5" t="s">
        <v>980</v>
      </c>
      <c r="AS5" t="s">
        <v>989</v>
      </c>
      <c r="AT5" t="s">
        <v>990</v>
      </c>
      <c r="AU5" t="s">
        <v>989</v>
      </c>
      <c r="AX5" t="s">
        <v>980</v>
      </c>
      <c r="BA5" t="s">
        <v>989</v>
      </c>
      <c r="BB5" t="s">
        <v>990</v>
      </c>
      <c r="BC5" t="s">
        <v>989</v>
      </c>
      <c r="BF5" t="s">
        <v>980</v>
      </c>
      <c r="BH5" t="s">
        <v>989</v>
      </c>
      <c r="BI5" t="s">
        <v>990</v>
      </c>
      <c r="BJ5" t="s">
        <v>989</v>
      </c>
      <c r="BM5" t="s">
        <v>980</v>
      </c>
      <c r="BO5" t="s">
        <v>989</v>
      </c>
      <c r="BP5" t="s">
        <v>990</v>
      </c>
      <c r="BQ5" t="s">
        <v>989</v>
      </c>
      <c r="BT5" t="s">
        <v>979</v>
      </c>
      <c r="BW5" t="s">
        <v>978</v>
      </c>
      <c r="BY5" t="s">
        <v>984</v>
      </c>
      <c r="BZ5" t="s">
        <v>985</v>
      </c>
      <c r="CA5" t="s">
        <v>984</v>
      </c>
      <c r="CE5" t="s">
        <v>978</v>
      </c>
      <c r="CH5" t="s">
        <v>984</v>
      </c>
      <c r="CI5" t="s">
        <v>985</v>
      </c>
      <c r="CJ5" t="s">
        <v>984</v>
      </c>
      <c r="CM5" t="s">
        <v>977</v>
      </c>
      <c r="CN5" t="s">
        <v>997</v>
      </c>
      <c r="CO5" t="s">
        <v>998</v>
      </c>
      <c r="CP5" t="s">
        <v>997</v>
      </c>
      <c r="CS5" t="s">
        <v>976</v>
      </c>
      <c r="CT5" t="s">
        <v>1362</v>
      </c>
      <c r="CU5" t="s">
        <v>1363</v>
      </c>
      <c r="CV5" t="s">
        <v>1362</v>
      </c>
      <c r="CY5" t="s">
        <v>976</v>
      </c>
      <c r="DA5" t="s">
        <v>1362</v>
      </c>
      <c r="DB5" t="s">
        <v>1363</v>
      </c>
      <c r="DC5" t="s">
        <v>1362</v>
      </c>
      <c r="DF5" t="s">
        <v>977</v>
      </c>
      <c r="DI5" t="s">
        <v>997</v>
      </c>
      <c r="DJ5" t="s">
        <v>998</v>
      </c>
      <c r="DK5" t="s">
        <v>997</v>
      </c>
      <c r="DN5" t="s">
        <v>977</v>
      </c>
      <c r="DP5" t="s">
        <v>997</v>
      </c>
      <c r="DQ5" t="s">
        <v>998</v>
      </c>
      <c r="DR5" t="s">
        <v>997</v>
      </c>
      <c r="DV5" t="s">
        <v>979</v>
      </c>
      <c r="DY5" t="s">
        <v>980</v>
      </c>
      <c r="EA5" t="s">
        <v>989</v>
      </c>
      <c r="EB5" t="s">
        <v>990</v>
      </c>
      <c r="EC5" t="s">
        <v>989</v>
      </c>
      <c r="EG5" t="s">
        <v>980</v>
      </c>
      <c r="EH5" t="s">
        <v>989</v>
      </c>
      <c r="EI5" t="s">
        <v>990</v>
      </c>
      <c r="EJ5" t="s">
        <v>989</v>
      </c>
      <c r="EM5" t="s">
        <v>976</v>
      </c>
      <c r="EO5" t="s">
        <v>1362</v>
      </c>
      <c r="EP5" t="s">
        <v>1363</v>
      </c>
      <c r="EQ5" t="s">
        <v>1362</v>
      </c>
      <c r="ET5" t="s">
        <v>980</v>
      </c>
      <c r="EW5" t="s">
        <v>989</v>
      </c>
      <c r="EX5" t="s">
        <v>990</v>
      </c>
      <c r="EY5" t="s">
        <v>989</v>
      </c>
      <c r="FB5" t="s">
        <v>979</v>
      </c>
      <c r="FE5" t="s">
        <v>979</v>
      </c>
      <c r="FH5" t="s">
        <v>979</v>
      </c>
      <c r="FK5" t="s">
        <v>978</v>
      </c>
      <c r="FM5" t="s">
        <v>984</v>
      </c>
      <c r="FN5" t="s">
        <v>985</v>
      </c>
      <c r="FO5" t="s">
        <v>984</v>
      </c>
      <c r="FR5" t="s">
        <v>977</v>
      </c>
      <c r="FS5" t="s">
        <v>997</v>
      </c>
      <c r="FT5" t="s">
        <v>998</v>
      </c>
      <c r="FU5" t="s">
        <v>997</v>
      </c>
      <c r="FY5" t="s">
        <v>976</v>
      </c>
      <c r="GB5" t="s">
        <v>1362</v>
      </c>
      <c r="GC5" t="s">
        <v>1363</v>
      </c>
      <c r="GD5" t="s">
        <v>1362</v>
      </c>
      <c r="GG5" t="s">
        <v>976</v>
      </c>
      <c r="GH5" t="s">
        <v>1362</v>
      </c>
      <c r="GI5" t="s">
        <v>1363</v>
      </c>
      <c r="GJ5" t="s">
        <v>1362</v>
      </c>
      <c r="GN5" t="s">
        <v>978</v>
      </c>
      <c r="GO5" t="s">
        <v>984</v>
      </c>
      <c r="GP5" t="s">
        <v>985</v>
      </c>
      <c r="GQ5" t="s">
        <v>984</v>
      </c>
      <c r="GT5" t="s">
        <v>979</v>
      </c>
      <c r="GX5" t="s">
        <v>977</v>
      </c>
      <c r="GY5" t="s">
        <v>997</v>
      </c>
      <c r="GZ5" t="s">
        <v>998</v>
      </c>
      <c r="HA5" t="s">
        <v>997</v>
      </c>
      <c r="HD5" t="s">
        <v>980</v>
      </c>
      <c r="HE5" t="s">
        <v>989</v>
      </c>
      <c r="HF5" t="s">
        <v>990</v>
      </c>
      <c r="HG5" t="s">
        <v>989</v>
      </c>
      <c r="HJ5" t="s">
        <v>979</v>
      </c>
      <c r="HN5" t="s">
        <v>977</v>
      </c>
      <c r="HP5" t="s">
        <v>997</v>
      </c>
      <c r="HQ5" t="s">
        <v>998</v>
      </c>
      <c r="HR5" t="s">
        <v>997</v>
      </c>
      <c r="HU5" t="s">
        <v>980</v>
      </c>
      <c r="HW5" t="s">
        <v>989</v>
      </c>
      <c r="HX5" t="s">
        <v>990</v>
      </c>
      <c r="HY5" t="s">
        <v>989</v>
      </c>
      <c r="IB5" t="s">
        <v>977</v>
      </c>
      <c r="IC5" t="s">
        <v>997</v>
      </c>
      <c r="ID5" t="s">
        <v>998</v>
      </c>
      <c r="IE5" t="s">
        <v>997</v>
      </c>
      <c r="IH5" t="s">
        <v>979</v>
      </c>
      <c r="IL5" t="s">
        <v>976</v>
      </c>
      <c r="IM5" t="s">
        <v>1362</v>
      </c>
      <c r="IN5" t="s">
        <v>1363</v>
      </c>
      <c r="IO5" t="s">
        <v>1362</v>
      </c>
      <c r="IR5" t="s">
        <v>977</v>
      </c>
      <c r="IS5" t="s">
        <v>997</v>
      </c>
      <c r="IT5" t="s">
        <v>998</v>
      </c>
      <c r="IU5" t="s">
        <v>997</v>
      </c>
      <c r="IX5" t="s">
        <v>980</v>
      </c>
      <c r="JA5" t="s">
        <v>989</v>
      </c>
      <c r="JB5" t="s">
        <v>990</v>
      </c>
      <c r="JC5" t="s">
        <v>989</v>
      </c>
      <c r="JF5" t="s">
        <v>977</v>
      </c>
      <c r="JG5" t="s">
        <v>997</v>
      </c>
      <c r="JH5" t="s">
        <v>998</v>
      </c>
      <c r="JI5" t="s">
        <v>997</v>
      </c>
      <c r="JM5" t="s">
        <v>980</v>
      </c>
      <c r="JO5" t="s">
        <v>989</v>
      </c>
      <c r="JP5" t="s">
        <v>990</v>
      </c>
      <c r="JQ5" t="s">
        <v>989</v>
      </c>
      <c r="JT5" t="s">
        <v>976</v>
      </c>
      <c r="JV5" t="s">
        <v>1362</v>
      </c>
      <c r="JW5" t="s">
        <v>1363</v>
      </c>
      <c r="JX5" t="s">
        <v>1362</v>
      </c>
      <c r="KA5" t="s">
        <v>979</v>
      </c>
      <c r="KD5" t="s">
        <v>976</v>
      </c>
      <c r="KF5" t="s">
        <v>1362</v>
      </c>
      <c r="KG5" t="s">
        <v>1363</v>
      </c>
      <c r="KH5" t="s">
        <v>1362</v>
      </c>
      <c r="KK5" t="s">
        <v>978</v>
      </c>
      <c r="KL5" t="s">
        <v>984</v>
      </c>
      <c r="KM5" t="s">
        <v>985</v>
      </c>
      <c r="KN5" t="s">
        <v>984</v>
      </c>
      <c r="KQ5" t="s">
        <v>980</v>
      </c>
      <c r="KR5" t="s">
        <v>989</v>
      </c>
      <c r="KS5" t="s">
        <v>990</v>
      </c>
      <c r="KT5" t="s">
        <v>989</v>
      </c>
      <c r="KX5" t="s">
        <v>978</v>
      </c>
      <c r="LA5" t="s">
        <v>984</v>
      </c>
      <c r="LB5" t="s">
        <v>985</v>
      </c>
      <c r="LC5" t="s">
        <v>984</v>
      </c>
      <c r="LF5" t="s">
        <v>977</v>
      </c>
      <c r="LH5" t="s">
        <v>997</v>
      </c>
      <c r="LI5" t="s">
        <v>998</v>
      </c>
      <c r="LJ5" t="s">
        <v>997</v>
      </c>
      <c r="LM5" t="s">
        <v>978</v>
      </c>
      <c r="LO5" t="s">
        <v>984</v>
      </c>
      <c r="LP5" t="s">
        <v>985</v>
      </c>
      <c r="LQ5" t="s">
        <v>984</v>
      </c>
      <c r="LT5" t="s">
        <v>980</v>
      </c>
      <c r="LU5" t="s">
        <v>989</v>
      </c>
      <c r="LV5" t="s">
        <v>990</v>
      </c>
      <c r="LW5" t="s">
        <v>989</v>
      </c>
      <c r="LZ5" t="s">
        <v>979</v>
      </c>
      <c r="MC5" t="s">
        <v>978</v>
      </c>
      <c r="ME5" t="s">
        <v>984</v>
      </c>
      <c r="MF5" t="s">
        <v>985</v>
      </c>
      <c r="MG5" t="s">
        <v>984</v>
      </c>
      <c r="MJ5" t="s">
        <v>976</v>
      </c>
      <c r="MM5" t="s">
        <v>1362</v>
      </c>
      <c r="MN5" t="s">
        <v>1363</v>
      </c>
      <c r="MO5" t="s">
        <v>1362</v>
      </c>
      <c r="MR5" t="s">
        <v>977</v>
      </c>
      <c r="MU5" t="s">
        <v>997</v>
      </c>
      <c r="MV5" t="s">
        <v>998</v>
      </c>
      <c r="MW5" t="s">
        <v>997</v>
      </c>
      <c r="NA5" t="s">
        <v>977</v>
      </c>
      <c r="NC5" t="s">
        <v>997</v>
      </c>
      <c r="ND5" t="s">
        <v>998</v>
      </c>
      <c r="NE5" t="s">
        <v>997</v>
      </c>
      <c r="NH5" t="s">
        <v>979</v>
      </c>
      <c r="NK5" t="s">
        <v>978</v>
      </c>
      <c r="NL5" t="s">
        <v>984</v>
      </c>
      <c r="NM5" t="s">
        <v>985</v>
      </c>
      <c r="NN5" t="s">
        <v>984</v>
      </c>
      <c r="NQ5" t="s">
        <v>976</v>
      </c>
      <c r="NR5" t="s">
        <v>1362</v>
      </c>
      <c r="NS5" t="s">
        <v>1363</v>
      </c>
      <c r="NT5" t="s">
        <v>1362</v>
      </c>
      <c r="NW5" t="s">
        <v>980</v>
      </c>
      <c r="NY5" t="s">
        <v>989</v>
      </c>
      <c r="NZ5" t="s">
        <v>990</v>
      </c>
      <c r="OA5" t="s">
        <v>989</v>
      </c>
      <c r="OE5" t="s">
        <v>978</v>
      </c>
      <c r="OF5" t="s">
        <v>984</v>
      </c>
      <c r="OG5" t="s">
        <v>985</v>
      </c>
      <c r="OH5" t="s">
        <v>984</v>
      </c>
      <c r="OK5" t="s">
        <v>978</v>
      </c>
      <c r="OL5" t="s">
        <v>984</v>
      </c>
      <c r="OM5" t="s">
        <v>985</v>
      </c>
      <c r="ON5" t="s">
        <v>984</v>
      </c>
      <c r="OQ5" t="s">
        <v>976</v>
      </c>
      <c r="OS5" t="s">
        <v>1362</v>
      </c>
      <c r="OT5" t="s">
        <v>1363</v>
      </c>
      <c r="OU5" t="s">
        <v>1362</v>
      </c>
      <c r="OX5" t="s">
        <v>981</v>
      </c>
      <c r="PA5" t="s">
        <v>976</v>
      </c>
      <c r="PB5" t="s">
        <v>1362</v>
      </c>
      <c r="PC5" t="s">
        <v>1363</v>
      </c>
      <c r="PD5" t="s">
        <v>1362</v>
      </c>
      <c r="PG5" t="s">
        <v>979</v>
      </c>
      <c r="PK5" t="s">
        <v>976</v>
      </c>
      <c r="PN5" t="s">
        <v>1362</v>
      </c>
      <c r="PO5" t="s">
        <v>1363</v>
      </c>
      <c r="PP5" t="s">
        <v>1362</v>
      </c>
      <c r="PS5" t="s">
        <v>979</v>
      </c>
      <c r="PV5" t="s">
        <v>981</v>
      </c>
      <c r="PY5" t="s">
        <v>976</v>
      </c>
      <c r="PZ5" t="s">
        <v>1362</v>
      </c>
      <c r="QA5" t="s">
        <v>1363</v>
      </c>
      <c r="QB5" t="s">
        <v>1362</v>
      </c>
      <c r="QE5" t="s">
        <v>978</v>
      </c>
      <c r="QH5" t="s">
        <v>984</v>
      </c>
      <c r="QI5" t="s">
        <v>985</v>
      </c>
      <c r="QJ5" t="s">
        <v>984</v>
      </c>
      <c r="QM5" t="s">
        <v>979</v>
      </c>
      <c r="QP5" t="s">
        <v>976</v>
      </c>
      <c r="QQ5" t="s">
        <v>1362</v>
      </c>
      <c r="QR5" t="s">
        <v>1363</v>
      </c>
      <c r="QS5" t="s">
        <v>1362</v>
      </c>
      <c r="QV5" t="s">
        <v>978</v>
      </c>
      <c r="QX5" t="s">
        <v>984</v>
      </c>
      <c r="QY5" t="s">
        <v>985</v>
      </c>
      <c r="QZ5" t="s">
        <v>984</v>
      </c>
      <c r="RD5" t="s">
        <v>981</v>
      </c>
      <c r="RH5" t="s">
        <v>977</v>
      </c>
      <c r="RJ5" t="s">
        <v>997</v>
      </c>
      <c r="RK5" t="s">
        <v>998</v>
      </c>
      <c r="RL5" t="s">
        <v>997</v>
      </c>
      <c r="RO5" t="s">
        <v>976</v>
      </c>
      <c r="RQ5" t="s">
        <v>1362</v>
      </c>
      <c r="RR5" t="s">
        <v>1363</v>
      </c>
      <c r="RS5" t="s">
        <v>1362</v>
      </c>
      <c r="RV5" t="s">
        <v>980</v>
      </c>
      <c r="RW5" t="s">
        <v>989</v>
      </c>
      <c r="RX5" t="s">
        <v>990</v>
      </c>
      <c r="RY5" t="s">
        <v>989</v>
      </c>
      <c r="SB5" t="s">
        <v>976</v>
      </c>
      <c r="SC5" t="s">
        <v>1362</v>
      </c>
      <c r="SD5" t="s">
        <v>1363</v>
      </c>
      <c r="SE5" t="s">
        <v>1362</v>
      </c>
      <c r="SH5" t="s">
        <v>979</v>
      </c>
      <c r="SK5" t="s">
        <v>976</v>
      </c>
      <c r="SL5" t="s">
        <v>1362</v>
      </c>
      <c r="SM5" t="s">
        <v>1363</v>
      </c>
      <c r="SN5" t="s">
        <v>1362</v>
      </c>
      <c r="SQ5" t="s">
        <v>978</v>
      </c>
      <c r="ST5" t="s">
        <v>984</v>
      </c>
      <c r="SU5" t="s">
        <v>985</v>
      </c>
      <c r="SV5" t="s">
        <v>984</v>
      </c>
      <c r="SY5" t="s">
        <v>980</v>
      </c>
      <c r="SZ5" t="s">
        <v>989</v>
      </c>
      <c r="TA5" t="s">
        <v>990</v>
      </c>
      <c r="TB5" t="s">
        <v>989</v>
      </c>
      <c r="TF5" t="s">
        <v>979</v>
      </c>
      <c r="TJ5" t="s">
        <v>976</v>
      </c>
      <c r="TK5" t="s">
        <v>1362</v>
      </c>
      <c r="TL5" t="s">
        <v>1363</v>
      </c>
      <c r="TM5" t="s">
        <v>1362</v>
      </c>
      <c r="TP5" t="s">
        <v>979</v>
      </c>
      <c r="TS5" t="s">
        <v>980</v>
      </c>
      <c r="TV5" t="s">
        <v>989</v>
      </c>
      <c r="TW5" t="s">
        <v>990</v>
      </c>
      <c r="TX5" t="s">
        <v>989</v>
      </c>
      <c r="UA5" t="s">
        <v>980</v>
      </c>
      <c r="UD5" t="s">
        <v>989</v>
      </c>
      <c r="UE5" t="s">
        <v>990</v>
      </c>
      <c r="UF5" t="s">
        <v>989</v>
      </c>
      <c r="UJ5" t="s">
        <v>978</v>
      </c>
      <c r="UK5" t="s">
        <v>984</v>
      </c>
      <c r="UL5" t="s">
        <v>985</v>
      </c>
      <c r="UM5" t="s">
        <v>984</v>
      </c>
      <c r="UP5" t="s">
        <v>976</v>
      </c>
      <c r="UQ5" t="s">
        <v>1362</v>
      </c>
      <c r="UR5" t="s">
        <v>1363</v>
      </c>
      <c r="US5" t="s">
        <v>1362</v>
      </c>
      <c r="UV5" t="s">
        <v>978</v>
      </c>
      <c r="UY5" t="s">
        <v>984</v>
      </c>
      <c r="UZ5" t="s">
        <v>985</v>
      </c>
      <c r="VA5" t="s">
        <v>984</v>
      </c>
      <c r="VD5" t="s">
        <v>976</v>
      </c>
      <c r="VG5" t="s">
        <v>1362</v>
      </c>
      <c r="VH5" t="s">
        <v>1363</v>
      </c>
      <c r="VI5" t="s">
        <v>1362</v>
      </c>
      <c r="VL5" t="s">
        <v>980</v>
      </c>
      <c r="VO5" t="s">
        <v>989</v>
      </c>
      <c r="VP5" t="s">
        <v>990</v>
      </c>
      <c r="VQ5" t="s">
        <v>989</v>
      </c>
      <c r="VU5" t="s">
        <v>976</v>
      </c>
      <c r="VV5" t="s">
        <v>1362</v>
      </c>
      <c r="VW5" t="s">
        <v>1363</v>
      </c>
      <c r="VX5" t="s">
        <v>1362</v>
      </c>
      <c r="WA5" t="s">
        <v>977</v>
      </c>
      <c r="WC5" t="s">
        <v>997</v>
      </c>
      <c r="WD5" t="s">
        <v>998</v>
      </c>
      <c r="WE5" t="s">
        <v>997</v>
      </c>
      <c r="WH5" t="s">
        <v>980</v>
      </c>
      <c r="WJ5" t="s">
        <v>989</v>
      </c>
      <c r="WK5" t="s">
        <v>990</v>
      </c>
      <c r="WL5" t="s">
        <v>989</v>
      </c>
      <c r="WO5" t="s">
        <v>976</v>
      </c>
      <c r="WQ5" t="s">
        <v>1362</v>
      </c>
      <c r="WR5" t="s">
        <v>1363</v>
      </c>
      <c r="WS5" t="s">
        <v>1362</v>
      </c>
      <c r="WV5" t="s">
        <v>981</v>
      </c>
      <c r="WZ5" t="s">
        <v>978</v>
      </c>
      <c r="XA5" t="s">
        <v>984</v>
      </c>
      <c r="XB5" t="s">
        <v>985</v>
      </c>
      <c r="XC5" t="s">
        <v>984</v>
      </c>
      <c r="XF5" t="s">
        <v>980</v>
      </c>
      <c r="XH5" t="s">
        <v>989</v>
      </c>
      <c r="XI5" t="s">
        <v>990</v>
      </c>
      <c r="XJ5" t="s">
        <v>989</v>
      </c>
      <c r="XM5" t="s">
        <v>978</v>
      </c>
      <c r="XN5" t="s">
        <v>984</v>
      </c>
      <c r="XO5" t="s">
        <v>985</v>
      </c>
      <c r="XP5" t="s">
        <v>984</v>
      </c>
      <c r="XS5" t="s">
        <v>980</v>
      </c>
      <c r="XT5" t="s">
        <v>989</v>
      </c>
      <c r="XU5" t="s">
        <v>990</v>
      </c>
      <c r="XV5" t="s">
        <v>989</v>
      </c>
      <c r="XY5" t="s">
        <v>976</v>
      </c>
      <c r="YA5" t="s">
        <v>1362</v>
      </c>
      <c r="YB5" t="s">
        <v>1363</v>
      </c>
      <c r="YC5" t="s">
        <v>1362</v>
      </c>
      <c r="YF5" t="s">
        <v>980</v>
      </c>
      <c r="YH5" t="s">
        <v>989</v>
      </c>
      <c r="YI5" t="s">
        <v>990</v>
      </c>
      <c r="YJ5" t="s">
        <v>989</v>
      </c>
      <c r="YM5" t="s">
        <v>977</v>
      </c>
      <c r="YO5" t="s">
        <v>997</v>
      </c>
      <c r="YP5" t="s">
        <v>998</v>
      </c>
      <c r="YQ5" t="s">
        <v>997</v>
      </c>
      <c r="YT5" t="s">
        <v>980</v>
      </c>
      <c r="YU5" t="s">
        <v>989</v>
      </c>
      <c r="YV5" t="s">
        <v>990</v>
      </c>
      <c r="YW5" t="s">
        <v>989</v>
      </c>
      <c r="YZ5" t="s">
        <v>980</v>
      </c>
      <c r="ZB5" t="s">
        <v>989</v>
      </c>
      <c r="ZC5" t="s">
        <v>990</v>
      </c>
      <c r="ZD5" t="s">
        <v>989</v>
      </c>
      <c r="ZH5" t="s">
        <v>977</v>
      </c>
      <c r="ZJ5" t="s">
        <v>997</v>
      </c>
      <c r="ZK5" t="s">
        <v>998</v>
      </c>
      <c r="ZL5" t="s">
        <v>997</v>
      </c>
      <c r="ZO5" t="s">
        <v>976</v>
      </c>
      <c r="ZP5" t="s">
        <v>1362</v>
      </c>
      <c r="ZQ5" t="s">
        <v>1363</v>
      </c>
      <c r="ZR5" t="s">
        <v>1362</v>
      </c>
      <c r="ZU5" t="s">
        <v>976</v>
      </c>
      <c r="ZX5" t="s">
        <v>1362</v>
      </c>
      <c r="ZY5" t="s">
        <v>1363</v>
      </c>
      <c r="ZZ5" t="s">
        <v>1362</v>
      </c>
      <c r="AAC5" t="s">
        <v>980</v>
      </c>
      <c r="AAD5" t="s">
        <v>989</v>
      </c>
      <c r="AAE5" t="s">
        <v>990</v>
      </c>
      <c r="AAF5" t="s">
        <v>989</v>
      </c>
      <c r="AAI5" t="s">
        <v>980</v>
      </c>
      <c r="AAL5" t="s">
        <v>989</v>
      </c>
      <c r="AAM5" t="s">
        <v>990</v>
      </c>
      <c r="AAN5" t="s">
        <v>989</v>
      </c>
      <c r="AAQ5" t="s">
        <v>977</v>
      </c>
      <c r="AAR5" t="s">
        <v>997</v>
      </c>
      <c r="AAS5" t="s">
        <v>998</v>
      </c>
      <c r="AAT5" t="s">
        <v>997</v>
      </c>
      <c r="AAW5" t="s">
        <v>979</v>
      </c>
      <c r="AAZ5" t="s">
        <v>979</v>
      </c>
      <c r="ABC5" t="s">
        <v>978</v>
      </c>
      <c r="ABE5" t="s">
        <v>984</v>
      </c>
      <c r="ABF5" t="s">
        <v>985</v>
      </c>
      <c r="ABG5" t="s">
        <v>984</v>
      </c>
      <c r="ABJ5" t="s">
        <v>980</v>
      </c>
      <c r="ABM5" t="s">
        <v>989</v>
      </c>
      <c r="ABN5" t="s">
        <v>990</v>
      </c>
      <c r="ABO5" t="s">
        <v>989</v>
      </c>
      <c r="ABS5" t="s">
        <v>978</v>
      </c>
      <c r="ABU5" t="s">
        <v>984</v>
      </c>
      <c r="ABV5" t="s">
        <v>985</v>
      </c>
      <c r="ABW5" t="s">
        <v>984</v>
      </c>
      <c r="ABZ5" t="s">
        <v>978</v>
      </c>
      <c r="ACA5" t="s">
        <v>984</v>
      </c>
      <c r="ACB5" t="s">
        <v>985</v>
      </c>
      <c r="ACC5" t="s">
        <v>984</v>
      </c>
      <c r="ACF5" t="s">
        <v>980</v>
      </c>
      <c r="ACI5" t="s">
        <v>989</v>
      </c>
      <c r="ACJ5" t="s">
        <v>990</v>
      </c>
      <c r="ACK5" t="s">
        <v>989</v>
      </c>
      <c r="ACN5" t="s">
        <v>978</v>
      </c>
      <c r="ACP5" t="s">
        <v>984</v>
      </c>
      <c r="ACQ5" t="s">
        <v>985</v>
      </c>
      <c r="ACR5" t="s">
        <v>984</v>
      </c>
      <c r="ACU5" t="s">
        <v>979</v>
      </c>
      <c r="ACX5" t="s">
        <v>979</v>
      </c>
      <c r="ADA5" t="s">
        <v>980</v>
      </c>
      <c r="ADD5" t="s">
        <v>989</v>
      </c>
      <c r="ADE5" t="s">
        <v>990</v>
      </c>
      <c r="ADF5" t="s">
        <v>989</v>
      </c>
      <c r="ADJ5" t="s">
        <v>976</v>
      </c>
      <c r="ADL5" t="s">
        <v>1362</v>
      </c>
      <c r="ADM5" t="s">
        <v>1363</v>
      </c>
      <c r="ADN5" t="s">
        <v>1362</v>
      </c>
      <c r="ADQ5" t="s">
        <v>980</v>
      </c>
      <c r="ADR5" t="s">
        <v>989</v>
      </c>
      <c r="ADS5" t="s">
        <v>990</v>
      </c>
      <c r="ADT5" t="s">
        <v>989</v>
      </c>
      <c r="ADW5" t="s">
        <v>976</v>
      </c>
      <c r="ADX5" t="s">
        <v>1362</v>
      </c>
      <c r="ADY5" t="s">
        <v>1363</v>
      </c>
      <c r="ADZ5" t="s">
        <v>1362</v>
      </c>
      <c r="AEC5" t="s">
        <v>979</v>
      </c>
      <c r="AEF5" t="s">
        <v>978</v>
      </c>
      <c r="AEG5" t="s">
        <v>984</v>
      </c>
      <c r="AEH5" t="s">
        <v>985</v>
      </c>
      <c r="AEI5" t="s">
        <v>984</v>
      </c>
      <c r="AEL5" t="s">
        <v>978</v>
      </c>
      <c r="AEO5" t="s">
        <v>984</v>
      </c>
      <c r="AEP5" t="s">
        <v>985</v>
      </c>
      <c r="AEQ5" t="s">
        <v>984</v>
      </c>
      <c r="AET5" t="s">
        <v>980</v>
      </c>
      <c r="AEV5" t="s">
        <v>989</v>
      </c>
      <c r="AEW5" t="s">
        <v>990</v>
      </c>
      <c r="AEX5" t="s">
        <v>989</v>
      </c>
      <c r="AFA5" t="s">
        <v>978</v>
      </c>
      <c r="AFD5" t="s">
        <v>984</v>
      </c>
      <c r="AFE5" t="s">
        <v>985</v>
      </c>
      <c r="AFF5" t="s">
        <v>984</v>
      </c>
      <c r="AFI5" t="s">
        <v>980</v>
      </c>
      <c r="AFJ5" t="s">
        <v>989</v>
      </c>
      <c r="AFK5" t="s">
        <v>990</v>
      </c>
      <c r="AFL5" t="s">
        <v>989</v>
      </c>
      <c r="AFO5" t="s">
        <v>977</v>
      </c>
      <c r="AFQ5" t="s">
        <v>997</v>
      </c>
      <c r="AFR5" t="s">
        <v>998</v>
      </c>
      <c r="AFS5" t="s">
        <v>997</v>
      </c>
      <c r="AFW5" t="s">
        <v>978</v>
      </c>
      <c r="AFX5" t="s">
        <v>984</v>
      </c>
      <c r="AFY5" t="s">
        <v>985</v>
      </c>
      <c r="AFZ5" t="s">
        <v>984</v>
      </c>
      <c r="AGC5" t="s">
        <v>980</v>
      </c>
      <c r="AGE5" t="s">
        <v>989</v>
      </c>
      <c r="AGF5" t="s">
        <v>990</v>
      </c>
      <c r="AGG5" t="s">
        <v>989</v>
      </c>
      <c r="AGJ5" t="s">
        <v>979</v>
      </c>
      <c r="AGM5" t="s">
        <v>978</v>
      </c>
      <c r="AGN5" t="s">
        <v>984</v>
      </c>
      <c r="AGO5" t="s">
        <v>985</v>
      </c>
      <c r="AGP5" t="s">
        <v>984</v>
      </c>
      <c r="AGS5" t="s">
        <v>980</v>
      </c>
      <c r="AGV5" t="s">
        <v>989</v>
      </c>
      <c r="AGW5" t="s">
        <v>990</v>
      </c>
      <c r="AGX5" t="s">
        <v>989</v>
      </c>
      <c r="AHA5" t="s">
        <v>979</v>
      </c>
      <c r="AHD5" t="s">
        <v>978</v>
      </c>
      <c r="AHE5" t="s">
        <v>984</v>
      </c>
      <c r="AHF5" t="s">
        <v>985</v>
      </c>
      <c r="AHG5" t="s">
        <v>984</v>
      </c>
      <c r="AHJ5" t="s">
        <v>976</v>
      </c>
      <c r="AHL5" t="s">
        <v>1362</v>
      </c>
      <c r="AHM5" t="s">
        <v>1363</v>
      </c>
      <c r="AHN5" t="s">
        <v>1362</v>
      </c>
      <c r="AHR5" t="s">
        <v>979</v>
      </c>
      <c r="AHU5" t="s">
        <v>978</v>
      </c>
      <c r="AHV5" t="s">
        <v>984</v>
      </c>
      <c r="AHW5" t="s">
        <v>985</v>
      </c>
      <c r="AHX5" t="s">
        <v>984</v>
      </c>
      <c r="AIA5" t="s">
        <v>978</v>
      </c>
      <c r="AIB5" t="s">
        <v>984</v>
      </c>
      <c r="AIC5" t="s">
        <v>985</v>
      </c>
      <c r="AID5" t="s">
        <v>984</v>
      </c>
      <c r="AIG5" t="s">
        <v>976</v>
      </c>
      <c r="AII5" t="s">
        <v>1362</v>
      </c>
      <c r="AIJ5" t="s">
        <v>1363</v>
      </c>
      <c r="AIK5" t="s">
        <v>1362</v>
      </c>
      <c r="AIN5" t="s">
        <v>978</v>
      </c>
      <c r="AIQ5" t="s">
        <v>984</v>
      </c>
      <c r="AIR5" t="s">
        <v>985</v>
      </c>
      <c r="AIS5" t="s">
        <v>984</v>
      </c>
      <c r="AIW5" t="s">
        <v>978</v>
      </c>
      <c r="AIX5" t="s">
        <v>984</v>
      </c>
      <c r="AIY5" t="s">
        <v>985</v>
      </c>
      <c r="AIZ5" t="s">
        <v>984</v>
      </c>
      <c r="AJC5" t="s">
        <v>979</v>
      </c>
      <c r="AJF5" t="s">
        <v>977</v>
      </c>
      <c r="AJH5" t="s">
        <v>997</v>
      </c>
      <c r="AJI5" t="s">
        <v>998</v>
      </c>
      <c r="AJJ5" t="s">
        <v>997</v>
      </c>
      <c r="AJM5" t="s">
        <v>980</v>
      </c>
      <c r="AJO5" t="s">
        <v>989</v>
      </c>
      <c r="AJP5" t="s">
        <v>990</v>
      </c>
      <c r="AJQ5" t="s">
        <v>989</v>
      </c>
      <c r="AJT5" t="s">
        <v>976</v>
      </c>
      <c r="AJU5" t="s">
        <v>1362</v>
      </c>
      <c r="AJV5" t="s">
        <v>1363</v>
      </c>
      <c r="AJW5" t="s">
        <v>1362</v>
      </c>
      <c r="AJZ5" t="s">
        <v>979</v>
      </c>
      <c r="AKD5" t="s">
        <v>979</v>
      </c>
      <c r="AKG5" t="s">
        <v>980</v>
      </c>
      <c r="AKI5" t="s">
        <v>989</v>
      </c>
      <c r="AKJ5" t="s">
        <v>990</v>
      </c>
      <c r="AKK5" t="s">
        <v>989</v>
      </c>
      <c r="AKN5" t="s">
        <v>976</v>
      </c>
      <c r="AKO5" t="s">
        <v>1362</v>
      </c>
      <c r="AKP5" t="s">
        <v>1363</v>
      </c>
      <c r="AKQ5" t="s">
        <v>1362</v>
      </c>
      <c r="AKT5" t="s">
        <v>976</v>
      </c>
      <c r="AKU5" t="s">
        <v>1362</v>
      </c>
      <c r="AKV5" t="s">
        <v>1363</v>
      </c>
      <c r="AKW5" t="s">
        <v>1362</v>
      </c>
      <c r="AKZ5" t="s">
        <v>980</v>
      </c>
      <c r="ALB5" t="s">
        <v>989</v>
      </c>
      <c r="ALC5" t="s">
        <v>990</v>
      </c>
      <c r="ALD5" t="s">
        <v>989</v>
      </c>
      <c r="ALG5" t="s">
        <v>981</v>
      </c>
      <c r="ALJ5" t="s">
        <v>981</v>
      </c>
      <c r="ALM5" t="s">
        <v>980</v>
      </c>
      <c r="ALN5" t="s">
        <v>989</v>
      </c>
      <c r="ALO5" t="s">
        <v>990</v>
      </c>
      <c r="ALP5" t="s">
        <v>989</v>
      </c>
      <c r="ALS5" t="s">
        <v>981</v>
      </c>
      <c r="ALW5" t="s">
        <v>979</v>
      </c>
      <c r="ALZ5" t="s">
        <v>980</v>
      </c>
      <c r="AMB5" t="s">
        <v>989</v>
      </c>
      <c r="AMC5" t="s">
        <v>990</v>
      </c>
      <c r="AMD5" t="s">
        <v>989</v>
      </c>
      <c r="AMG5" t="s">
        <v>978</v>
      </c>
      <c r="AMH5" t="s">
        <v>984</v>
      </c>
      <c r="AMI5" t="s">
        <v>985</v>
      </c>
      <c r="AMJ5" t="s">
        <v>984</v>
      </c>
      <c r="AMM5" t="s">
        <v>976</v>
      </c>
      <c r="AMO5" t="s">
        <v>1362</v>
      </c>
      <c r="AMP5" t="s">
        <v>1363</v>
      </c>
      <c r="AMQ5" t="s">
        <v>1362</v>
      </c>
      <c r="AMT5" t="s">
        <v>981</v>
      </c>
      <c r="AMW5" t="s">
        <v>979</v>
      </c>
      <c r="AMZ5" t="s">
        <v>976</v>
      </c>
      <c r="ANB5" t="s">
        <v>1362</v>
      </c>
      <c r="ANC5" t="s">
        <v>1363</v>
      </c>
      <c r="AND5" t="s">
        <v>1362</v>
      </c>
      <c r="ANG5" t="s">
        <v>978</v>
      </c>
      <c r="ANH5" t="s">
        <v>984</v>
      </c>
      <c r="ANI5" t="s">
        <v>985</v>
      </c>
      <c r="ANJ5" t="s">
        <v>984</v>
      </c>
      <c r="ANN5" t="s">
        <v>977</v>
      </c>
      <c r="ANP5" t="s">
        <v>997</v>
      </c>
      <c r="ANQ5" t="s">
        <v>998</v>
      </c>
      <c r="ANR5" t="s">
        <v>997</v>
      </c>
      <c r="ANU5" t="s">
        <v>979</v>
      </c>
      <c r="ANX5" t="s">
        <v>978</v>
      </c>
      <c r="ANY5" t="s">
        <v>984</v>
      </c>
      <c r="ANZ5" t="s">
        <v>985</v>
      </c>
      <c r="AOA5" t="s">
        <v>984</v>
      </c>
      <c r="AOD5" t="s">
        <v>978</v>
      </c>
      <c r="AOF5" t="s">
        <v>984</v>
      </c>
      <c r="AOG5" t="s">
        <v>985</v>
      </c>
      <c r="AOH5" t="s">
        <v>984</v>
      </c>
      <c r="AOK5" t="s">
        <v>976</v>
      </c>
      <c r="AOL5" t="s">
        <v>1362</v>
      </c>
      <c r="AOM5" t="s">
        <v>1363</v>
      </c>
      <c r="AON5" t="s">
        <v>1362</v>
      </c>
      <c r="AOQ5" t="s">
        <v>977</v>
      </c>
      <c r="AOS5" t="s">
        <v>997</v>
      </c>
      <c r="AOT5" t="s">
        <v>998</v>
      </c>
      <c r="AOU5" t="s">
        <v>997</v>
      </c>
      <c r="AOX5" t="s">
        <v>980</v>
      </c>
      <c r="AOZ5" t="s">
        <v>989</v>
      </c>
      <c r="APA5" t="s">
        <v>990</v>
      </c>
      <c r="APB5" t="s">
        <v>989</v>
      </c>
      <c r="APE5" t="s">
        <v>977</v>
      </c>
      <c r="APG5" t="s">
        <v>997</v>
      </c>
      <c r="APH5" t="s">
        <v>998</v>
      </c>
      <c r="API5" t="s">
        <v>997</v>
      </c>
      <c r="APM5" t="s">
        <v>978</v>
      </c>
      <c r="APN5" t="s">
        <v>984</v>
      </c>
      <c r="APO5" t="s">
        <v>985</v>
      </c>
      <c r="APP5" t="s">
        <v>984</v>
      </c>
      <c r="APS5" t="s">
        <v>977</v>
      </c>
      <c r="APT5" t="s">
        <v>997</v>
      </c>
      <c r="APU5" t="s">
        <v>998</v>
      </c>
      <c r="APV5" t="s">
        <v>997</v>
      </c>
      <c r="APY5" t="s">
        <v>976</v>
      </c>
      <c r="APZ5" t="s">
        <v>1362</v>
      </c>
      <c r="AQA5" t="s">
        <v>1363</v>
      </c>
      <c r="AQB5" t="s">
        <v>1362</v>
      </c>
      <c r="AQF5" t="s">
        <v>980</v>
      </c>
      <c r="AQI5" t="s">
        <v>989</v>
      </c>
      <c r="AQJ5" t="s">
        <v>990</v>
      </c>
      <c r="AQK5" t="s">
        <v>989</v>
      </c>
      <c r="AQN5" t="s">
        <v>978</v>
      </c>
      <c r="AQP5" t="s">
        <v>984</v>
      </c>
      <c r="AQQ5" t="s">
        <v>985</v>
      </c>
      <c r="AQR5" t="s">
        <v>984</v>
      </c>
      <c r="AQU5" t="s">
        <v>976</v>
      </c>
      <c r="AQV5" t="s">
        <v>1362</v>
      </c>
      <c r="AQW5" t="s">
        <v>1363</v>
      </c>
      <c r="AQX5" t="s">
        <v>1362</v>
      </c>
      <c r="ARA5" t="s">
        <v>980</v>
      </c>
      <c r="ARD5" t="s">
        <v>989</v>
      </c>
      <c r="ARE5" t="s">
        <v>990</v>
      </c>
      <c r="ARF5" t="s">
        <v>989</v>
      </c>
      <c r="ARI5" t="s">
        <v>979</v>
      </c>
      <c r="ARL5" t="s">
        <v>979</v>
      </c>
      <c r="ARO5" t="s">
        <v>976</v>
      </c>
      <c r="ARP5" t="s">
        <v>1362</v>
      </c>
      <c r="ARQ5" t="s">
        <v>1363</v>
      </c>
      <c r="ARR5" t="s">
        <v>1362</v>
      </c>
      <c r="ARV5" t="s">
        <v>979</v>
      </c>
      <c r="ARY5" t="s">
        <v>976</v>
      </c>
      <c r="ASB5" t="s">
        <v>1362</v>
      </c>
      <c r="ASC5" t="s">
        <v>1363</v>
      </c>
      <c r="ASD5" t="s">
        <v>1362</v>
      </c>
      <c r="ASG5" t="s">
        <v>977</v>
      </c>
      <c r="ASH5" t="s">
        <v>997</v>
      </c>
      <c r="ASI5" t="s">
        <v>998</v>
      </c>
      <c r="ASJ5" t="s">
        <v>997</v>
      </c>
      <c r="ASM5" t="s">
        <v>977</v>
      </c>
      <c r="ASO5" t="s">
        <v>997</v>
      </c>
      <c r="ASP5" t="s">
        <v>998</v>
      </c>
      <c r="ASQ5" t="s">
        <v>997</v>
      </c>
      <c r="AST5" t="s">
        <v>977</v>
      </c>
      <c r="ASU5" t="s">
        <v>997</v>
      </c>
      <c r="ASV5" t="s">
        <v>998</v>
      </c>
      <c r="ASW5" t="s">
        <v>997</v>
      </c>
      <c r="ASZ5" t="s">
        <v>980</v>
      </c>
      <c r="ATC5" t="s">
        <v>989</v>
      </c>
      <c r="ATD5" t="s">
        <v>990</v>
      </c>
      <c r="ATE5" t="s">
        <v>989</v>
      </c>
      <c r="ATI5" t="s">
        <v>976</v>
      </c>
      <c r="ATK5" t="s">
        <v>1362</v>
      </c>
      <c r="ATL5" t="s">
        <v>1363</v>
      </c>
      <c r="ATM5" t="s">
        <v>1362</v>
      </c>
      <c r="ATP5" t="s">
        <v>979</v>
      </c>
      <c r="ATS5" t="s">
        <v>979</v>
      </c>
      <c r="ATV5" t="s">
        <v>979</v>
      </c>
    </row>
    <row r="6" spans="1:1222" x14ac:dyDescent="0.25">
      <c r="A6" t="e">
        <f>GETPIVOTDATA($B$2,"Australia Puglia 'Years (InvoiceDate)'['2021';Max] '9232'")</f>
        <v>#REF!</v>
      </c>
      <c r="C6" t="s">
        <v>987</v>
      </c>
      <c r="E6" t="s">
        <v>1364</v>
      </c>
      <c r="K6" t="s">
        <v>987</v>
      </c>
      <c r="M6" t="s">
        <v>1364</v>
      </c>
      <c r="S6" t="s">
        <v>983</v>
      </c>
      <c r="T6" t="s">
        <v>1365</v>
      </c>
      <c r="Z6" t="s">
        <v>986</v>
      </c>
      <c r="AJ6" t="s">
        <v>983</v>
      </c>
      <c r="AK6" t="s">
        <v>1365</v>
      </c>
      <c r="AQ6" t="s">
        <v>987</v>
      </c>
      <c r="AR6" t="s">
        <v>1364</v>
      </c>
      <c r="AX6" t="s">
        <v>987</v>
      </c>
      <c r="AZ6" t="s">
        <v>1364</v>
      </c>
      <c r="BF6" t="s">
        <v>987</v>
      </c>
      <c r="BG6" t="s">
        <v>1364</v>
      </c>
      <c r="BM6" t="s">
        <v>987</v>
      </c>
      <c r="BN6" t="s">
        <v>1364</v>
      </c>
      <c r="BW6" t="s">
        <v>983</v>
      </c>
      <c r="BX6" t="s">
        <v>1365</v>
      </c>
      <c r="CE6" t="s">
        <v>987</v>
      </c>
      <c r="CG6" t="s">
        <v>1364</v>
      </c>
      <c r="CM6" t="s">
        <v>986</v>
      </c>
      <c r="CS6" t="s">
        <v>986</v>
      </c>
      <c r="CY6" t="s">
        <v>983</v>
      </c>
      <c r="CZ6" t="s">
        <v>1365</v>
      </c>
      <c r="DF6" t="s">
        <v>987</v>
      </c>
      <c r="DH6" t="s">
        <v>1364</v>
      </c>
      <c r="DN6" t="s">
        <v>983</v>
      </c>
      <c r="DO6" t="s">
        <v>1365</v>
      </c>
      <c r="DY6" t="s">
        <v>987</v>
      </c>
      <c r="DZ6" t="s">
        <v>1364</v>
      </c>
      <c r="EG6" t="s">
        <v>988</v>
      </c>
      <c r="EM6" t="s">
        <v>983</v>
      </c>
      <c r="EN6" t="s">
        <v>1365</v>
      </c>
      <c r="ET6" t="s">
        <v>987</v>
      </c>
      <c r="EV6" t="s">
        <v>1364</v>
      </c>
      <c r="FK6" t="s">
        <v>983</v>
      </c>
      <c r="FL6" t="s">
        <v>1365</v>
      </c>
      <c r="FR6" t="s">
        <v>986</v>
      </c>
      <c r="FY6" t="s">
        <v>987</v>
      </c>
      <c r="GA6" t="s">
        <v>1364</v>
      </c>
      <c r="GG6" t="s">
        <v>986</v>
      </c>
      <c r="GN6" t="s">
        <v>986</v>
      </c>
      <c r="GX6" t="s">
        <v>986</v>
      </c>
      <c r="HD6" t="s">
        <v>988</v>
      </c>
      <c r="HN6" t="s">
        <v>983</v>
      </c>
      <c r="HO6" t="s">
        <v>1365</v>
      </c>
      <c r="HU6" t="s">
        <v>983</v>
      </c>
      <c r="HV6" t="s">
        <v>1365</v>
      </c>
      <c r="IB6" t="s">
        <v>986</v>
      </c>
      <c r="IL6" t="s">
        <v>988</v>
      </c>
      <c r="IR6" t="s">
        <v>986</v>
      </c>
      <c r="IX6" t="s">
        <v>987</v>
      </c>
      <c r="IZ6" t="s">
        <v>1364</v>
      </c>
      <c r="JF6" t="s">
        <v>986</v>
      </c>
      <c r="JM6" t="s">
        <v>983</v>
      </c>
      <c r="JN6" t="s">
        <v>1365</v>
      </c>
      <c r="JT6" t="s">
        <v>987</v>
      </c>
      <c r="JU6" t="s">
        <v>1364</v>
      </c>
      <c r="KD6" t="s">
        <v>987</v>
      </c>
      <c r="KE6" t="s">
        <v>1364</v>
      </c>
      <c r="KK6" t="s">
        <v>986</v>
      </c>
      <c r="KQ6" t="s">
        <v>988</v>
      </c>
      <c r="KX6" t="s">
        <v>987</v>
      </c>
      <c r="KZ6" t="s">
        <v>1364</v>
      </c>
      <c r="LF6" t="s">
        <v>983</v>
      </c>
      <c r="LG6" t="s">
        <v>1365</v>
      </c>
      <c r="LM6" t="s">
        <v>987</v>
      </c>
      <c r="LN6" t="s">
        <v>1364</v>
      </c>
      <c r="LT6" t="s">
        <v>986</v>
      </c>
      <c r="MC6" t="s">
        <v>983</v>
      </c>
      <c r="MD6" t="s">
        <v>1365</v>
      </c>
      <c r="MJ6" t="s">
        <v>987</v>
      </c>
      <c r="ML6" t="s">
        <v>1364</v>
      </c>
      <c r="MR6" t="s">
        <v>987</v>
      </c>
      <c r="MT6" t="s">
        <v>1364</v>
      </c>
      <c r="NA6" t="s">
        <v>987</v>
      </c>
      <c r="NB6" t="s">
        <v>1364</v>
      </c>
      <c r="NK6" t="s">
        <v>988</v>
      </c>
      <c r="NQ6" t="s">
        <v>988</v>
      </c>
      <c r="NW6" t="s">
        <v>983</v>
      </c>
      <c r="NX6" t="s">
        <v>1365</v>
      </c>
      <c r="OE6" t="s">
        <v>986</v>
      </c>
      <c r="OK6" t="s">
        <v>988</v>
      </c>
      <c r="OQ6" t="s">
        <v>987</v>
      </c>
      <c r="OR6" t="s">
        <v>1364</v>
      </c>
      <c r="PA6" t="s">
        <v>988</v>
      </c>
      <c r="PK6" t="s">
        <v>987</v>
      </c>
      <c r="PM6" t="s">
        <v>1364</v>
      </c>
      <c r="PY6" t="s">
        <v>986</v>
      </c>
      <c r="QE6" t="s">
        <v>987</v>
      </c>
      <c r="QG6" t="s">
        <v>1364</v>
      </c>
      <c r="QP6" t="s">
        <v>986</v>
      </c>
      <c r="QV6" t="s">
        <v>983</v>
      </c>
      <c r="QW6" t="s">
        <v>1365</v>
      </c>
      <c r="RH6" t="s">
        <v>987</v>
      </c>
      <c r="RI6" t="s">
        <v>1364</v>
      </c>
      <c r="RO6" t="s">
        <v>983</v>
      </c>
      <c r="RP6" t="s">
        <v>1365</v>
      </c>
      <c r="RV6" t="s">
        <v>986</v>
      </c>
      <c r="SB6" t="s">
        <v>986</v>
      </c>
      <c r="SK6" t="s">
        <v>986</v>
      </c>
      <c r="SQ6" t="s">
        <v>987</v>
      </c>
      <c r="SS6" t="s">
        <v>1364</v>
      </c>
      <c r="SY6" t="s">
        <v>986</v>
      </c>
      <c r="TJ6" t="s">
        <v>986</v>
      </c>
      <c r="TS6" t="s">
        <v>987</v>
      </c>
      <c r="TU6" t="s">
        <v>1364</v>
      </c>
      <c r="UA6" t="s">
        <v>987</v>
      </c>
      <c r="UC6" t="s">
        <v>1364</v>
      </c>
      <c r="UJ6" t="s">
        <v>986</v>
      </c>
      <c r="UP6" t="s">
        <v>986</v>
      </c>
      <c r="UV6" t="s">
        <v>987</v>
      </c>
      <c r="UX6" t="s">
        <v>1364</v>
      </c>
      <c r="VD6" t="s">
        <v>987</v>
      </c>
      <c r="VF6" t="s">
        <v>1364</v>
      </c>
      <c r="VL6" t="s">
        <v>987</v>
      </c>
      <c r="VN6" t="s">
        <v>1364</v>
      </c>
      <c r="VU6" t="s">
        <v>986</v>
      </c>
      <c r="WA6" t="s">
        <v>983</v>
      </c>
      <c r="WB6" t="s">
        <v>1365</v>
      </c>
      <c r="WH6" t="s">
        <v>983</v>
      </c>
      <c r="WI6" t="s">
        <v>1365</v>
      </c>
      <c r="WO6" t="s">
        <v>987</v>
      </c>
      <c r="WP6" t="s">
        <v>1364</v>
      </c>
      <c r="WZ6" t="s">
        <v>988</v>
      </c>
      <c r="XF6" t="s">
        <v>983</v>
      </c>
      <c r="XG6" t="s">
        <v>1365</v>
      </c>
      <c r="XM6" t="s">
        <v>988</v>
      </c>
      <c r="XS6" t="s">
        <v>988</v>
      </c>
      <c r="XY6" t="s">
        <v>983</v>
      </c>
      <c r="XZ6" t="s">
        <v>1365</v>
      </c>
      <c r="YF6" t="s">
        <v>983</v>
      </c>
      <c r="YG6" t="s">
        <v>1365</v>
      </c>
      <c r="YM6" t="s">
        <v>983</v>
      </c>
      <c r="YN6" t="s">
        <v>1365</v>
      </c>
      <c r="YT6" t="s">
        <v>988</v>
      </c>
      <c r="YZ6" t="s">
        <v>983</v>
      </c>
      <c r="ZA6" t="s">
        <v>1365</v>
      </c>
      <c r="ZH6" t="s">
        <v>983</v>
      </c>
      <c r="ZI6" t="s">
        <v>1365</v>
      </c>
      <c r="ZO6" t="s">
        <v>988</v>
      </c>
      <c r="ZU6" t="s">
        <v>987</v>
      </c>
      <c r="ZW6" t="s">
        <v>1364</v>
      </c>
      <c r="AAC6" t="s">
        <v>988</v>
      </c>
      <c r="AAI6" t="s">
        <v>987</v>
      </c>
      <c r="AAK6" t="s">
        <v>1364</v>
      </c>
      <c r="AAQ6" t="s">
        <v>986</v>
      </c>
      <c r="ABC6" t="s">
        <v>983</v>
      </c>
      <c r="ABD6" t="s">
        <v>1365</v>
      </c>
      <c r="ABJ6" t="s">
        <v>987</v>
      </c>
      <c r="ABL6" t="s">
        <v>1364</v>
      </c>
      <c r="ABS6" t="s">
        <v>983</v>
      </c>
      <c r="ABT6" t="s">
        <v>1365</v>
      </c>
      <c r="ABZ6" t="s">
        <v>986</v>
      </c>
      <c r="ACF6" t="s">
        <v>987</v>
      </c>
      <c r="ACH6" t="s">
        <v>1364</v>
      </c>
      <c r="ACN6" t="s">
        <v>987</v>
      </c>
      <c r="ACO6" t="s">
        <v>1364</v>
      </c>
      <c r="ADA6" t="s">
        <v>987</v>
      </c>
      <c r="ADC6" t="s">
        <v>1364</v>
      </c>
      <c r="ADJ6" t="s">
        <v>983</v>
      </c>
      <c r="ADK6" t="s">
        <v>1365</v>
      </c>
      <c r="ADQ6" t="s">
        <v>988</v>
      </c>
      <c r="ADW6" t="s">
        <v>986</v>
      </c>
      <c r="AEF6" t="s">
        <v>986</v>
      </c>
      <c r="AEL6" t="s">
        <v>987</v>
      </c>
      <c r="AEN6" t="s">
        <v>1364</v>
      </c>
      <c r="AET6" t="s">
        <v>983</v>
      </c>
      <c r="AEU6" t="s">
        <v>1365</v>
      </c>
      <c r="AFA6" t="s">
        <v>987</v>
      </c>
      <c r="AFC6" t="s">
        <v>1364</v>
      </c>
      <c r="AFI6" t="s">
        <v>986</v>
      </c>
      <c r="AFO6" t="s">
        <v>987</v>
      </c>
      <c r="AFP6" t="s">
        <v>1364</v>
      </c>
      <c r="AFW6" t="s">
        <v>988</v>
      </c>
      <c r="AGC6" t="s">
        <v>983</v>
      </c>
      <c r="AGD6" t="s">
        <v>1365</v>
      </c>
      <c r="AGM6" t="s">
        <v>988</v>
      </c>
      <c r="AGS6" t="s">
        <v>987</v>
      </c>
      <c r="AGU6" t="s">
        <v>1364</v>
      </c>
      <c r="AHD6" t="s">
        <v>986</v>
      </c>
      <c r="AHJ6" t="s">
        <v>987</v>
      </c>
      <c r="AHK6" t="s">
        <v>1364</v>
      </c>
      <c r="AHU6" t="s">
        <v>988</v>
      </c>
      <c r="AIA6" t="s">
        <v>986</v>
      </c>
      <c r="AIG6" t="s">
        <v>983</v>
      </c>
      <c r="AIH6" t="s">
        <v>1365</v>
      </c>
      <c r="AIN6" t="s">
        <v>987</v>
      </c>
      <c r="AIP6" t="s">
        <v>1364</v>
      </c>
      <c r="AIW6" t="s">
        <v>986</v>
      </c>
      <c r="AJF6" t="s">
        <v>983</v>
      </c>
      <c r="AJG6" t="s">
        <v>1365</v>
      </c>
      <c r="AJM6" t="s">
        <v>983</v>
      </c>
      <c r="AJN6" t="s">
        <v>1365</v>
      </c>
      <c r="AJT6" t="s">
        <v>986</v>
      </c>
      <c r="AKG6" t="s">
        <v>983</v>
      </c>
      <c r="AKH6" t="s">
        <v>1365</v>
      </c>
      <c r="AKN6" t="s">
        <v>986</v>
      </c>
      <c r="AKT6" t="s">
        <v>988</v>
      </c>
      <c r="AKZ6" t="s">
        <v>983</v>
      </c>
      <c r="ALA6" t="s">
        <v>1365</v>
      </c>
      <c r="ALM6" t="s">
        <v>988</v>
      </c>
      <c r="ALZ6" t="s">
        <v>983</v>
      </c>
      <c r="AMA6" t="s">
        <v>1365</v>
      </c>
      <c r="AMG6" t="s">
        <v>986</v>
      </c>
      <c r="AMM6" t="s">
        <v>983</v>
      </c>
      <c r="AMN6" t="s">
        <v>1365</v>
      </c>
      <c r="AMZ6" t="s">
        <v>983</v>
      </c>
      <c r="ANA6" t="s">
        <v>1365</v>
      </c>
      <c r="ANG6" t="s">
        <v>988</v>
      </c>
      <c r="ANN6" t="s">
        <v>983</v>
      </c>
      <c r="ANO6" t="s">
        <v>1365</v>
      </c>
      <c r="ANX6" t="s">
        <v>986</v>
      </c>
      <c r="AOD6" t="s">
        <v>983</v>
      </c>
      <c r="AOE6" t="s">
        <v>1365</v>
      </c>
      <c r="AOK6" t="s">
        <v>986</v>
      </c>
      <c r="AOQ6" t="s">
        <v>987</v>
      </c>
      <c r="AOR6" t="s">
        <v>1364</v>
      </c>
      <c r="AOX6" t="s">
        <v>983</v>
      </c>
      <c r="AOY6" t="s">
        <v>1365</v>
      </c>
      <c r="APE6" t="s">
        <v>987</v>
      </c>
      <c r="APF6" t="s">
        <v>1364</v>
      </c>
      <c r="APM6" t="s">
        <v>988</v>
      </c>
      <c r="APS6" t="s">
        <v>986</v>
      </c>
      <c r="APY6" t="s">
        <v>986</v>
      </c>
      <c r="AQF6" t="s">
        <v>987</v>
      </c>
      <c r="AQH6" t="s">
        <v>1364</v>
      </c>
      <c r="AQN6" t="s">
        <v>983</v>
      </c>
      <c r="AQO6" t="s">
        <v>1365</v>
      </c>
      <c r="AQU6" t="s">
        <v>988</v>
      </c>
      <c r="ARA6" t="s">
        <v>987</v>
      </c>
      <c r="ARC6" t="s">
        <v>1364</v>
      </c>
      <c r="ARO6" t="s">
        <v>988</v>
      </c>
      <c r="ARY6" t="s">
        <v>987</v>
      </c>
      <c r="ASA6" t="s">
        <v>1364</v>
      </c>
      <c r="ASG6" t="s">
        <v>986</v>
      </c>
      <c r="ASM6" t="s">
        <v>983</v>
      </c>
      <c r="ASN6" t="s">
        <v>1365</v>
      </c>
      <c r="AST6" t="s">
        <v>986</v>
      </c>
      <c r="ASZ6" t="s">
        <v>987</v>
      </c>
      <c r="ATB6" t="s">
        <v>1364</v>
      </c>
      <c r="ATI6" t="s">
        <v>987</v>
      </c>
      <c r="ATJ6" t="s">
        <v>1364</v>
      </c>
    </row>
    <row r="7" spans="1:1222" x14ac:dyDescent="0.25">
      <c r="C7" t="s">
        <v>993</v>
      </c>
      <c r="D7" t="s">
        <v>1367</v>
      </c>
      <c r="K7" t="s">
        <v>992</v>
      </c>
      <c r="L7" t="s">
        <v>1366</v>
      </c>
      <c r="S7" t="s">
        <v>994</v>
      </c>
      <c r="AJ7" t="s">
        <v>994</v>
      </c>
      <c r="AQ7" t="s">
        <v>991</v>
      </c>
      <c r="AX7" t="s">
        <v>992</v>
      </c>
      <c r="AY7" t="s">
        <v>1366</v>
      </c>
      <c r="BF7" t="s">
        <v>991</v>
      </c>
      <c r="BM7" t="s">
        <v>991</v>
      </c>
      <c r="BW7" t="s">
        <v>995</v>
      </c>
      <c r="CE7" t="s">
        <v>993</v>
      </c>
      <c r="CF7" t="s">
        <v>1367</v>
      </c>
      <c r="CY7" t="s">
        <v>995</v>
      </c>
      <c r="DF7" t="s">
        <v>993</v>
      </c>
      <c r="DG7" t="s">
        <v>1367</v>
      </c>
      <c r="DN7" t="s">
        <v>995</v>
      </c>
      <c r="DY7" t="s">
        <v>991</v>
      </c>
      <c r="EM7" t="s">
        <v>995</v>
      </c>
      <c r="ET7" t="s">
        <v>993</v>
      </c>
      <c r="EU7" t="s">
        <v>1367</v>
      </c>
      <c r="FK7" t="s">
        <v>996</v>
      </c>
      <c r="FY7" t="s">
        <v>992</v>
      </c>
      <c r="FZ7" t="s">
        <v>1366</v>
      </c>
      <c r="HN7" t="s">
        <v>996</v>
      </c>
      <c r="HU7" t="s">
        <v>995</v>
      </c>
      <c r="IX7" t="s">
        <v>993</v>
      </c>
      <c r="IY7" t="s">
        <v>1367</v>
      </c>
      <c r="JM7" t="s">
        <v>994</v>
      </c>
      <c r="JT7" t="s">
        <v>991</v>
      </c>
      <c r="KD7" t="s">
        <v>991</v>
      </c>
      <c r="KX7" t="s">
        <v>993</v>
      </c>
      <c r="KY7" t="s">
        <v>1367</v>
      </c>
      <c r="LF7" t="s">
        <v>995</v>
      </c>
      <c r="LM7" t="s">
        <v>991</v>
      </c>
      <c r="MC7" t="s">
        <v>995</v>
      </c>
      <c r="MJ7" t="s">
        <v>993</v>
      </c>
      <c r="MK7" t="s">
        <v>1367</v>
      </c>
      <c r="MR7" t="s">
        <v>993</v>
      </c>
      <c r="MS7" t="s">
        <v>1367</v>
      </c>
      <c r="NA7" t="s">
        <v>991</v>
      </c>
      <c r="NW7" t="s">
        <v>996</v>
      </c>
      <c r="OQ7" t="s">
        <v>991</v>
      </c>
      <c r="PK7" t="s">
        <v>992</v>
      </c>
      <c r="PL7" t="s">
        <v>1366</v>
      </c>
      <c r="QE7" t="s">
        <v>992</v>
      </c>
      <c r="QF7" t="s">
        <v>1366</v>
      </c>
      <c r="QV7" t="s">
        <v>995</v>
      </c>
      <c r="RH7" t="s">
        <v>991</v>
      </c>
      <c r="RO7" t="s">
        <v>994</v>
      </c>
      <c r="SQ7" t="s">
        <v>992</v>
      </c>
      <c r="SR7" t="s">
        <v>1366</v>
      </c>
      <c r="TS7" t="s">
        <v>992</v>
      </c>
      <c r="TT7" t="s">
        <v>1366</v>
      </c>
      <c r="UA7" t="s">
        <v>992</v>
      </c>
      <c r="UB7" t="s">
        <v>1366</v>
      </c>
      <c r="UV7" t="s">
        <v>993</v>
      </c>
      <c r="UW7" t="s">
        <v>1367</v>
      </c>
      <c r="VD7" t="s">
        <v>992</v>
      </c>
      <c r="VE7" t="s">
        <v>1366</v>
      </c>
      <c r="VL7" t="s">
        <v>993</v>
      </c>
      <c r="VM7" t="s">
        <v>1367</v>
      </c>
      <c r="WA7" t="s">
        <v>994</v>
      </c>
      <c r="WH7" t="s">
        <v>996</v>
      </c>
      <c r="WO7" t="s">
        <v>991</v>
      </c>
      <c r="XF7" t="s">
        <v>995</v>
      </c>
      <c r="XY7" t="s">
        <v>996</v>
      </c>
      <c r="YF7" t="s">
        <v>996</v>
      </c>
      <c r="YM7" t="s">
        <v>996</v>
      </c>
      <c r="YZ7" t="s">
        <v>996</v>
      </c>
      <c r="ZH7" t="s">
        <v>995</v>
      </c>
      <c r="ZU7" t="s">
        <v>992</v>
      </c>
      <c r="ZV7" t="s">
        <v>1366</v>
      </c>
      <c r="AAI7" t="s">
        <v>992</v>
      </c>
      <c r="AAJ7" t="s">
        <v>1366</v>
      </c>
      <c r="ABC7" t="s">
        <v>996</v>
      </c>
      <c r="ABJ7" t="s">
        <v>993</v>
      </c>
      <c r="ABK7" t="s">
        <v>1367</v>
      </c>
      <c r="ABS7" t="s">
        <v>996</v>
      </c>
      <c r="ACF7" t="s">
        <v>993</v>
      </c>
      <c r="ACG7" t="s">
        <v>1367</v>
      </c>
      <c r="ACN7" t="s">
        <v>991</v>
      </c>
      <c r="ADA7" t="s">
        <v>993</v>
      </c>
      <c r="ADB7" t="s">
        <v>1367</v>
      </c>
      <c r="ADJ7" t="s">
        <v>995</v>
      </c>
      <c r="AEL7" t="s">
        <v>993</v>
      </c>
      <c r="AEM7" t="s">
        <v>1367</v>
      </c>
      <c r="AET7" t="s">
        <v>994</v>
      </c>
      <c r="AFA7" t="s">
        <v>993</v>
      </c>
      <c r="AFB7" t="s">
        <v>1367</v>
      </c>
      <c r="AFO7" t="s">
        <v>991</v>
      </c>
      <c r="AGC7" t="s">
        <v>996</v>
      </c>
      <c r="AGS7" t="s">
        <v>992</v>
      </c>
      <c r="AGT7" t="s">
        <v>1366</v>
      </c>
      <c r="AHJ7" t="s">
        <v>991</v>
      </c>
      <c r="AIG7" t="s">
        <v>994</v>
      </c>
      <c r="AIN7" t="s">
        <v>992</v>
      </c>
      <c r="AIO7" t="s">
        <v>1366</v>
      </c>
      <c r="AJF7" t="s">
        <v>996</v>
      </c>
      <c r="AJM7" t="s">
        <v>995</v>
      </c>
      <c r="AKG7" t="s">
        <v>994</v>
      </c>
      <c r="AKZ7" t="s">
        <v>995</v>
      </c>
      <c r="ALZ7" t="s">
        <v>995</v>
      </c>
      <c r="AMM7" t="s">
        <v>996</v>
      </c>
      <c r="AMZ7" t="s">
        <v>995</v>
      </c>
      <c r="ANN7" t="s">
        <v>994</v>
      </c>
      <c r="AOD7" t="s">
        <v>994</v>
      </c>
      <c r="AOQ7" t="s">
        <v>991</v>
      </c>
      <c r="AOX7" t="s">
        <v>995</v>
      </c>
      <c r="APE7" t="s">
        <v>991</v>
      </c>
      <c r="AQF7" t="s">
        <v>993</v>
      </c>
      <c r="AQG7" t="s">
        <v>1367</v>
      </c>
      <c r="AQN7" t="s">
        <v>994</v>
      </c>
      <c r="ARA7" t="s">
        <v>993</v>
      </c>
      <c r="ARB7" t="s">
        <v>1367</v>
      </c>
      <c r="ARY7" t="s">
        <v>992</v>
      </c>
      <c r="ARZ7" t="s">
        <v>1366</v>
      </c>
      <c r="ASM7" t="s">
        <v>994</v>
      </c>
      <c r="ASZ7" t="s">
        <v>993</v>
      </c>
      <c r="ATA7" t="s">
        <v>1367</v>
      </c>
      <c r="ATI7" t="s">
        <v>991</v>
      </c>
    </row>
    <row r="8" spans="1:1222" x14ac:dyDescent="0.25">
      <c r="B8" s="5" t="s">
        <v>853</v>
      </c>
      <c r="C8" s="1">
        <v>45112</v>
      </c>
      <c r="K8" s="1">
        <v>44072</v>
      </c>
      <c r="AX8" s="1">
        <v>45532</v>
      </c>
      <c r="CE8" s="1">
        <v>44769</v>
      </c>
      <c r="DF8" s="1">
        <v>44016</v>
      </c>
      <c r="ET8" s="1">
        <v>45486</v>
      </c>
      <c r="FY8" s="1">
        <v>45163</v>
      </c>
      <c r="IX8" s="1">
        <v>45492</v>
      </c>
      <c r="KX8" s="1">
        <v>44754</v>
      </c>
      <c r="MJ8" s="1">
        <v>45138</v>
      </c>
      <c r="MR8" s="1">
        <v>44016</v>
      </c>
      <c r="PK8" s="1">
        <v>45163</v>
      </c>
      <c r="QE8" s="1">
        <v>44785</v>
      </c>
      <c r="SQ8" s="1">
        <v>44795</v>
      </c>
      <c r="TS8" s="1">
        <v>45523</v>
      </c>
      <c r="UA8" s="1">
        <v>45522</v>
      </c>
      <c r="UV8" s="1">
        <v>44755</v>
      </c>
      <c r="VD8" s="1">
        <v>45142</v>
      </c>
      <c r="VL8" s="1">
        <v>45499</v>
      </c>
      <c r="ZU8" s="1">
        <v>45151</v>
      </c>
      <c r="AAI8" s="1">
        <v>45518</v>
      </c>
      <c r="ABJ8" s="1">
        <v>45483</v>
      </c>
      <c r="ACF8" s="1">
        <v>45496</v>
      </c>
      <c r="ADA8" s="1">
        <v>45490</v>
      </c>
      <c r="AEL8" s="1">
        <v>44743</v>
      </c>
      <c r="AFA8" s="1">
        <v>44760</v>
      </c>
      <c r="AGS8" s="1">
        <v>45518</v>
      </c>
      <c r="AIN8" s="1">
        <v>44777</v>
      </c>
      <c r="AQF8" s="1">
        <v>45497</v>
      </c>
      <c r="ARA8" s="1">
        <v>45484</v>
      </c>
      <c r="ARY8" s="1">
        <v>45140</v>
      </c>
      <c r="ASZ8" s="1">
        <v>45481</v>
      </c>
    </row>
    <row r="9" spans="1:1222" x14ac:dyDescent="0.25">
      <c r="B9" s="6">
        <v>805</v>
      </c>
      <c r="IB9">
        <v>27306.95</v>
      </c>
      <c r="IC9">
        <v>1</v>
      </c>
      <c r="ID9">
        <v>27306.95</v>
      </c>
      <c r="IE9">
        <v>1</v>
      </c>
      <c r="IF9">
        <v>27306.95</v>
      </c>
      <c r="IG9">
        <v>27306.95</v>
      </c>
      <c r="IK9">
        <v>27306.95</v>
      </c>
      <c r="ATZ9">
        <v>27306.95</v>
      </c>
    </row>
    <row r="10" spans="1:1222" x14ac:dyDescent="0.25">
      <c r="B10" s="6">
        <v>1036</v>
      </c>
      <c r="DY10">
        <v>32410.240000000002</v>
      </c>
      <c r="DZ10">
        <v>32410.240000000002</v>
      </c>
      <c r="EA10">
        <v>1</v>
      </c>
      <c r="EB10">
        <v>32410.240000000002</v>
      </c>
      <c r="EC10">
        <v>1</v>
      </c>
      <c r="ED10">
        <v>32410.240000000002</v>
      </c>
      <c r="EE10">
        <v>32410.240000000002</v>
      </c>
      <c r="EF10">
        <v>32410.240000000002</v>
      </c>
      <c r="ATZ10">
        <v>32410.240000000002</v>
      </c>
    </row>
    <row r="11" spans="1:1222" x14ac:dyDescent="0.25">
      <c r="A11" t="e">
        <f>GETPIVOTDATA($B$2,"'805' Australia Gangwon 'Years (InvoiceDate)'['2023';Data,Count]")</f>
        <v>#REF!</v>
      </c>
      <c r="B11" s="6">
        <v>1514</v>
      </c>
      <c r="APS11">
        <v>33991.89</v>
      </c>
      <c r="APT11">
        <v>1</v>
      </c>
      <c r="APU11">
        <v>33991.89</v>
      </c>
      <c r="APV11">
        <v>1</v>
      </c>
      <c r="APW11">
        <v>33991.89</v>
      </c>
      <c r="APX11">
        <v>33991.89</v>
      </c>
      <c r="AQE11">
        <v>33991.89</v>
      </c>
      <c r="ATZ11">
        <v>33991.89</v>
      </c>
    </row>
    <row r="12" spans="1:1222" x14ac:dyDescent="0.25">
      <c r="A12" t="e">
        <f>GETPIVOTDATA($B$2,"'1514' Australia Gangwon 'Years (InvoiceDate)'['2023';Data,'Count Nums']")</f>
        <v>#REF!</v>
      </c>
      <c r="B12" s="6">
        <v>1817</v>
      </c>
      <c r="YZ12">
        <v>89663</v>
      </c>
      <c r="ZA12">
        <v>89663</v>
      </c>
      <c r="ZB12">
        <v>1</v>
      </c>
      <c r="ZC12">
        <v>89663</v>
      </c>
      <c r="ZD12">
        <v>1</v>
      </c>
      <c r="ZE12">
        <v>89663</v>
      </c>
      <c r="ZF12">
        <v>89663</v>
      </c>
      <c r="ZG12">
        <v>89663</v>
      </c>
      <c r="ATZ12">
        <v>89663</v>
      </c>
    </row>
    <row r="13" spans="1:1222" x14ac:dyDescent="0.25">
      <c r="A13">
        <f>GETPIVOTDATA($B$2,"'805' Australia Gangwon 'Years (InvoiceDate)'['2023';Count]")</f>
        <v>0</v>
      </c>
      <c r="B13" s="6">
        <v>2251</v>
      </c>
      <c r="FB13">
        <v>35769.71</v>
      </c>
      <c r="FC13">
        <v>35769.71</v>
      </c>
      <c r="FD13">
        <v>35769.71</v>
      </c>
      <c r="FX13">
        <v>35769.71</v>
      </c>
      <c r="ATZ13">
        <v>35769.71</v>
      </c>
    </row>
    <row r="14" spans="1:1222" x14ac:dyDescent="0.25">
      <c r="A14">
        <f>GETPIVOTDATA($B$2,"'1036' Australia Gangwon 'Years (InvoiceDate)'['2023';'Count Nums']")</f>
        <v>0</v>
      </c>
      <c r="B14" s="6">
        <v>2397</v>
      </c>
      <c r="HJ14">
        <v>7297.22</v>
      </c>
      <c r="HK14">
        <v>7297.22</v>
      </c>
      <c r="HL14">
        <v>7297.22</v>
      </c>
      <c r="HM14">
        <v>7297.22</v>
      </c>
      <c r="ATZ14">
        <v>7297.22</v>
      </c>
    </row>
    <row r="15" spans="1:1222" x14ac:dyDescent="0.25">
      <c r="B15" s="6">
        <v>2472</v>
      </c>
      <c r="AKG15">
        <v>83001.91</v>
      </c>
      <c r="AKH15">
        <v>83001.91</v>
      </c>
      <c r="AKI15">
        <v>1</v>
      </c>
      <c r="AKJ15">
        <v>83001.91</v>
      </c>
      <c r="AKK15">
        <v>1</v>
      </c>
      <c r="AKL15">
        <v>83001.91</v>
      </c>
      <c r="AKM15">
        <v>83001.91</v>
      </c>
      <c r="ALV15">
        <v>83001.91</v>
      </c>
      <c r="ATZ15">
        <v>83001.91</v>
      </c>
    </row>
    <row r="16" spans="1:1222" x14ac:dyDescent="0.25">
      <c r="B16" s="6">
        <v>2533</v>
      </c>
      <c r="DV16">
        <v>11412.23</v>
      </c>
      <c r="DW16">
        <v>11412.23</v>
      </c>
      <c r="DX16">
        <v>11412.23</v>
      </c>
      <c r="EF16">
        <v>11412.23</v>
      </c>
      <c r="ATZ16">
        <v>11412.23</v>
      </c>
    </row>
    <row r="17" spans="2:1010 1153:1222" x14ac:dyDescent="0.25">
      <c r="B17" s="6">
        <v>2573</v>
      </c>
      <c r="CY17">
        <v>2676.8</v>
      </c>
      <c r="CZ17">
        <v>2676.8</v>
      </c>
      <c r="DA17">
        <v>1</v>
      </c>
      <c r="DB17">
        <v>2676.8</v>
      </c>
      <c r="DC17">
        <v>1</v>
      </c>
      <c r="DD17">
        <v>2676.8</v>
      </c>
      <c r="DE17">
        <v>2676.8</v>
      </c>
      <c r="DU17">
        <v>2676.8</v>
      </c>
      <c r="ATZ17">
        <v>2676.8</v>
      </c>
    </row>
    <row r="18" spans="2:1010 1153:1222" x14ac:dyDescent="0.25">
      <c r="B18" s="6">
        <v>2647</v>
      </c>
      <c r="TP18">
        <v>38046.22</v>
      </c>
      <c r="TQ18">
        <v>38046.22</v>
      </c>
      <c r="TR18">
        <v>38046.22</v>
      </c>
      <c r="UI18">
        <v>38046.22</v>
      </c>
      <c r="ATZ18">
        <v>38046.22</v>
      </c>
    </row>
    <row r="19" spans="2:1010 1153:1222" x14ac:dyDescent="0.25">
      <c r="B19" s="6">
        <v>2723</v>
      </c>
      <c r="WH19">
        <v>80223.039999999994</v>
      </c>
      <c r="WI19">
        <v>80223.039999999994</v>
      </c>
      <c r="WJ19">
        <v>1</v>
      </c>
      <c r="WK19">
        <v>80223.039999999994</v>
      </c>
      <c r="WL19">
        <v>1</v>
      </c>
      <c r="WM19">
        <v>80223.039999999994</v>
      </c>
      <c r="WN19">
        <v>80223.039999999994</v>
      </c>
      <c r="WY19">
        <v>80223.039999999994</v>
      </c>
      <c r="ATZ19">
        <v>80223.039999999994</v>
      </c>
    </row>
    <row r="20" spans="2:1010 1153:1222" x14ac:dyDescent="0.25">
      <c r="B20" s="6">
        <v>2858</v>
      </c>
      <c r="SB20">
        <v>23177.439999999999</v>
      </c>
      <c r="SC20">
        <v>1</v>
      </c>
      <c r="SD20">
        <v>23177.439999999999</v>
      </c>
      <c r="SE20">
        <v>1</v>
      </c>
      <c r="SF20">
        <v>23177.439999999999</v>
      </c>
      <c r="SG20">
        <v>23177.439999999999</v>
      </c>
      <c r="TE20">
        <v>23177.439999999999</v>
      </c>
      <c r="ATZ20">
        <v>23177.439999999999</v>
      </c>
    </row>
    <row r="21" spans="2:1010 1153:1222" x14ac:dyDescent="0.25">
      <c r="B21" s="6">
        <v>3371</v>
      </c>
      <c r="RV21">
        <v>89704.3</v>
      </c>
      <c r="RW21">
        <v>1</v>
      </c>
      <c r="RX21">
        <v>89704.3</v>
      </c>
      <c r="RY21">
        <v>1</v>
      </c>
      <c r="RZ21">
        <v>89704.3</v>
      </c>
      <c r="SA21">
        <v>89704.3</v>
      </c>
      <c r="TE21">
        <v>89704.3</v>
      </c>
      <c r="ATZ21">
        <v>89704.3</v>
      </c>
    </row>
    <row r="22" spans="2:1010 1153:1222" x14ac:dyDescent="0.25">
      <c r="B22" s="6">
        <v>3398</v>
      </c>
      <c r="ALG22">
        <v>20126.98</v>
      </c>
      <c r="ALH22">
        <v>20126.98</v>
      </c>
      <c r="ALI22">
        <v>20126.98</v>
      </c>
      <c r="ALV22">
        <v>20126.98</v>
      </c>
      <c r="ATZ22">
        <v>20126.98</v>
      </c>
    </row>
    <row r="23" spans="2:1010 1153:1222" x14ac:dyDescent="0.25">
      <c r="B23" s="6">
        <v>3452</v>
      </c>
      <c r="BF23">
        <v>71216.03</v>
      </c>
      <c r="BG23">
        <v>71216.03</v>
      </c>
      <c r="BH23">
        <v>1</v>
      </c>
      <c r="BI23">
        <v>71216.03</v>
      </c>
      <c r="BJ23">
        <v>1</v>
      </c>
      <c r="BK23">
        <v>71216.03</v>
      </c>
      <c r="BL23">
        <v>71216.03</v>
      </c>
      <c r="CD23">
        <v>71216.03</v>
      </c>
      <c r="ATZ23">
        <v>71216.03</v>
      </c>
    </row>
    <row r="24" spans="2:1010 1153:1222" x14ac:dyDescent="0.25">
      <c r="B24" s="6">
        <v>3517</v>
      </c>
      <c r="AIA24">
        <v>42845.9</v>
      </c>
      <c r="AIB24">
        <v>1</v>
      </c>
      <c r="AIC24">
        <v>42845.9</v>
      </c>
      <c r="AID24">
        <v>1</v>
      </c>
      <c r="AIE24">
        <v>42845.9</v>
      </c>
      <c r="AIF24">
        <v>42845.9</v>
      </c>
      <c r="AIV24">
        <v>42845.9</v>
      </c>
      <c r="ATZ24">
        <v>42845.9</v>
      </c>
    </row>
    <row r="25" spans="2:1010 1153:1222" x14ac:dyDescent="0.25">
      <c r="B25" s="6">
        <v>3522</v>
      </c>
      <c r="ACF25">
        <v>40457.550000000003</v>
      </c>
      <c r="ACG25">
        <v>40457.550000000003</v>
      </c>
      <c r="ACH25">
        <v>40457.550000000003</v>
      </c>
      <c r="ACI25">
        <v>1</v>
      </c>
      <c r="ACJ25">
        <v>40457.550000000003</v>
      </c>
      <c r="ACK25">
        <v>1</v>
      </c>
      <c r="ACL25">
        <v>40457.550000000003</v>
      </c>
      <c r="ACM25">
        <v>40457.550000000003</v>
      </c>
      <c r="ADI25">
        <v>40457.550000000003</v>
      </c>
      <c r="ATZ25">
        <v>40457.550000000003</v>
      </c>
    </row>
    <row r="26" spans="2:1010 1153:1222" x14ac:dyDescent="0.25">
      <c r="B26" s="6">
        <v>3625</v>
      </c>
      <c r="ARO26">
        <v>65413.5</v>
      </c>
      <c r="ARP26">
        <v>1</v>
      </c>
      <c r="ARQ26">
        <v>65413.5</v>
      </c>
      <c r="ARR26">
        <v>1</v>
      </c>
      <c r="ARS26">
        <v>65413.5</v>
      </c>
      <c r="ART26">
        <v>65413.5</v>
      </c>
      <c r="ARU26">
        <v>65413.5</v>
      </c>
      <c r="ATZ26">
        <v>65413.5</v>
      </c>
    </row>
    <row r="27" spans="2:1010 1153:1222" x14ac:dyDescent="0.25">
      <c r="B27" s="6">
        <v>4498</v>
      </c>
      <c r="KX27">
        <v>82707.17</v>
      </c>
      <c r="KY27">
        <v>82707.17</v>
      </c>
      <c r="KZ27">
        <v>82707.17</v>
      </c>
      <c r="LA27">
        <v>1</v>
      </c>
      <c r="LB27">
        <v>82707.17</v>
      </c>
      <c r="LC27">
        <v>1</v>
      </c>
      <c r="LD27">
        <v>82707.17</v>
      </c>
      <c r="LE27">
        <v>82707.17</v>
      </c>
      <c r="MZ27">
        <v>82707.17</v>
      </c>
      <c r="ATZ27">
        <v>82707.17</v>
      </c>
    </row>
    <row r="28" spans="2:1010 1153:1222" x14ac:dyDescent="0.25">
      <c r="B28" s="6">
        <v>4573</v>
      </c>
      <c r="VL28">
        <v>6222.75</v>
      </c>
      <c r="VM28">
        <v>6222.75</v>
      </c>
      <c r="VN28">
        <v>6222.75</v>
      </c>
      <c r="VO28">
        <v>1</v>
      </c>
      <c r="VP28">
        <v>6222.75</v>
      </c>
      <c r="VQ28">
        <v>1</v>
      </c>
      <c r="VR28">
        <v>6222.75</v>
      </c>
      <c r="VS28">
        <v>6222.75</v>
      </c>
      <c r="VT28">
        <v>6222.75</v>
      </c>
      <c r="ATZ28">
        <v>6222.75</v>
      </c>
    </row>
    <row r="29" spans="2:1010 1153:1222" x14ac:dyDescent="0.25">
      <c r="B29" s="6">
        <v>4992</v>
      </c>
      <c r="QE29">
        <v>57571.13</v>
      </c>
      <c r="QF29">
        <v>57571.13</v>
      </c>
      <c r="QG29">
        <v>57571.13</v>
      </c>
      <c r="QH29">
        <v>1</v>
      </c>
      <c r="QI29">
        <v>57571.13</v>
      </c>
      <c r="QJ29">
        <v>1</v>
      </c>
      <c r="QK29">
        <v>57571.13</v>
      </c>
      <c r="QL29">
        <v>57571.13</v>
      </c>
      <c r="RC29">
        <v>57571.13</v>
      </c>
      <c r="ATZ29">
        <v>57571.13</v>
      </c>
    </row>
    <row r="30" spans="2:1010 1153:1222" x14ac:dyDescent="0.25">
      <c r="B30" s="6">
        <v>5130</v>
      </c>
      <c r="UV30">
        <v>73677.600000000006</v>
      </c>
      <c r="UW30">
        <v>73677.600000000006</v>
      </c>
      <c r="UX30">
        <v>73677.600000000006</v>
      </c>
      <c r="UY30">
        <v>1</v>
      </c>
      <c r="UZ30">
        <v>73677.600000000006</v>
      </c>
      <c r="VA30">
        <v>1</v>
      </c>
      <c r="VB30">
        <v>73677.600000000006</v>
      </c>
      <c r="VC30">
        <v>73677.600000000006</v>
      </c>
      <c r="VT30">
        <v>73677.600000000006</v>
      </c>
      <c r="ATZ30">
        <v>73677.600000000006</v>
      </c>
    </row>
    <row r="31" spans="2:1010 1153:1222" x14ac:dyDescent="0.25">
      <c r="B31" s="6">
        <v>5768</v>
      </c>
      <c r="MC31">
        <v>21370.29</v>
      </c>
      <c r="MD31">
        <v>21370.29</v>
      </c>
      <c r="ME31">
        <v>1</v>
      </c>
      <c r="MF31">
        <v>21370.29</v>
      </c>
      <c r="MG31">
        <v>1</v>
      </c>
      <c r="MH31">
        <v>21370.29</v>
      </c>
      <c r="MI31">
        <v>21370.29</v>
      </c>
      <c r="MZ31">
        <v>21370.29</v>
      </c>
      <c r="ATZ31">
        <v>21370.29</v>
      </c>
    </row>
    <row r="32" spans="2:1010 1153:1222" x14ac:dyDescent="0.25">
      <c r="B32" s="6">
        <v>5855</v>
      </c>
      <c r="ARI32">
        <v>71578.97</v>
      </c>
      <c r="ARJ32">
        <v>71578.97</v>
      </c>
      <c r="ARK32">
        <v>71578.97</v>
      </c>
      <c r="ARU32">
        <v>71578.97</v>
      </c>
      <c r="ATZ32">
        <v>71578.97</v>
      </c>
    </row>
    <row r="33" spans="2:1013 1040:1222" x14ac:dyDescent="0.25">
      <c r="B33" s="6">
        <v>6061</v>
      </c>
      <c r="AHU33">
        <v>47311.15</v>
      </c>
      <c r="AHV33">
        <v>1</v>
      </c>
      <c r="AHW33">
        <v>47311.15</v>
      </c>
      <c r="AHX33">
        <v>1</v>
      </c>
      <c r="AHY33">
        <v>47311.15</v>
      </c>
      <c r="AHZ33">
        <v>47311.15</v>
      </c>
      <c r="AIV33">
        <v>47311.15</v>
      </c>
      <c r="ATZ33">
        <v>47311.15</v>
      </c>
    </row>
    <row r="34" spans="2:1013 1040:1222" x14ac:dyDescent="0.25">
      <c r="B34" s="6">
        <v>6138</v>
      </c>
      <c r="EM34">
        <v>28625.14</v>
      </c>
      <c r="EN34">
        <v>28625.14</v>
      </c>
      <c r="EO34">
        <v>1</v>
      </c>
      <c r="EP34">
        <v>28625.14</v>
      </c>
      <c r="EQ34">
        <v>1</v>
      </c>
      <c r="ER34">
        <v>28625.14</v>
      </c>
      <c r="ES34">
        <v>28625.14</v>
      </c>
      <c r="FX34">
        <v>28625.14</v>
      </c>
      <c r="ATZ34">
        <v>28625.14</v>
      </c>
    </row>
    <row r="35" spans="2:1013 1040:1222" x14ac:dyDescent="0.25">
      <c r="B35" s="6">
        <v>6151</v>
      </c>
      <c r="ALJ35">
        <v>11115.72</v>
      </c>
      <c r="ALK35">
        <v>11115.72</v>
      </c>
      <c r="ALL35">
        <v>11115.72</v>
      </c>
      <c r="ALV35">
        <v>11115.72</v>
      </c>
      <c r="ATZ35">
        <v>11115.72</v>
      </c>
    </row>
    <row r="36" spans="2:1013 1040:1222" x14ac:dyDescent="0.25">
      <c r="B36" s="6">
        <v>6157</v>
      </c>
      <c r="DN36">
        <v>26883.82</v>
      </c>
      <c r="DO36">
        <v>26883.82</v>
      </c>
      <c r="DP36">
        <v>1</v>
      </c>
      <c r="DQ36">
        <v>26883.82</v>
      </c>
      <c r="DR36">
        <v>1</v>
      </c>
      <c r="DS36">
        <v>26883.82</v>
      </c>
      <c r="DT36">
        <v>26883.82</v>
      </c>
      <c r="DU36">
        <v>26883.82</v>
      </c>
      <c r="ATZ36">
        <v>26883.82</v>
      </c>
    </row>
    <row r="37" spans="2:1013 1040:1222" x14ac:dyDescent="0.25">
      <c r="B37" s="6">
        <v>6428</v>
      </c>
      <c r="AAW37">
        <v>17679.95</v>
      </c>
      <c r="AAX37">
        <v>17679.95</v>
      </c>
      <c r="AAY37">
        <v>17679.95</v>
      </c>
      <c r="ABR37">
        <v>17679.95</v>
      </c>
      <c r="ATZ37">
        <v>17679.95</v>
      </c>
    </row>
    <row r="38" spans="2:1013 1040:1222" x14ac:dyDescent="0.25">
      <c r="B38" s="6">
        <v>7168</v>
      </c>
      <c r="UP38">
        <v>13893.18</v>
      </c>
      <c r="UQ38">
        <v>1</v>
      </c>
      <c r="UR38">
        <v>13893.18</v>
      </c>
      <c r="US38">
        <v>1</v>
      </c>
      <c r="UT38">
        <v>13893.18</v>
      </c>
      <c r="UU38">
        <v>13893.18</v>
      </c>
      <c r="VT38">
        <v>13893.18</v>
      </c>
      <c r="ATZ38">
        <v>13893.18</v>
      </c>
    </row>
    <row r="39" spans="2:1013 1040:1222" x14ac:dyDescent="0.25">
      <c r="B39" s="6">
        <v>7277</v>
      </c>
      <c r="AFW39">
        <v>68436.149999999994</v>
      </c>
      <c r="AFX39">
        <v>1</v>
      </c>
      <c r="AFY39">
        <v>68436.149999999994</v>
      </c>
      <c r="AFZ39">
        <v>1</v>
      </c>
      <c r="AGA39">
        <v>68436.149999999994</v>
      </c>
      <c r="AGB39">
        <v>68436.149999999994</v>
      </c>
      <c r="AHQ39">
        <v>68436.149999999994</v>
      </c>
      <c r="ATZ39">
        <v>68436.149999999994</v>
      </c>
    </row>
    <row r="40" spans="2:1013 1040:1222" x14ac:dyDescent="0.25">
      <c r="B40" s="6">
        <v>7374</v>
      </c>
      <c r="APE40">
        <v>43316.480000000003</v>
      </c>
      <c r="APF40">
        <v>43316.480000000003</v>
      </c>
      <c r="APG40">
        <v>1</v>
      </c>
      <c r="APH40">
        <v>43316.480000000003</v>
      </c>
      <c r="API40">
        <v>1</v>
      </c>
      <c r="APJ40">
        <v>43316.480000000003</v>
      </c>
      <c r="APK40">
        <v>43316.480000000003</v>
      </c>
      <c r="APL40">
        <v>43316.480000000003</v>
      </c>
      <c r="ATZ40">
        <v>43316.480000000003</v>
      </c>
    </row>
    <row r="41" spans="2:1013 1040:1222" x14ac:dyDescent="0.25">
      <c r="B41" s="6">
        <v>7478</v>
      </c>
      <c r="BT41">
        <v>34729.96</v>
      </c>
      <c r="BU41">
        <v>34729.96</v>
      </c>
      <c r="BV41">
        <v>34729.96</v>
      </c>
      <c r="CD41">
        <v>34729.96</v>
      </c>
      <c r="ATZ41">
        <v>34729.96</v>
      </c>
    </row>
    <row r="42" spans="2:1013 1040:1222" x14ac:dyDescent="0.25">
      <c r="B42" s="6">
        <v>7573</v>
      </c>
      <c r="YM42">
        <v>21442.28</v>
      </c>
      <c r="YN42">
        <v>21442.28</v>
      </c>
      <c r="YO42">
        <v>1</v>
      </c>
      <c r="YP42">
        <v>21442.28</v>
      </c>
      <c r="YQ42">
        <v>1</v>
      </c>
      <c r="YR42">
        <v>21442.28</v>
      </c>
      <c r="YS42">
        <v>21442.28</v>
      </c>
      <c r="ZG42">
        <v>21442.28</v>
      </c>
      <c r="ATZ42">
        <v>21442.28</v>
      </c>
    </row>
    <row r="43" spans="2:1013 1040:1222" x14ac:dyDescent="0.25">
      <c r="B43" s="6">
        <v>7645</v>
      </c>
      <c r="VU43">
        <v>32905.53</v>
      </c>
      <c r="VV43">
        <v>1</v>
      </c>
      <c r="VW43">
        <v>32905.53</v>
      </c>
      <c r="VX43">
        <v>1</v>
      </c>
      <c r="VY43">
        <v>32905.53</v>
      </c>
      <c r="VZ43">
        <v>32905.53</v>
      </c>
      <c r="WY43">
        <v>32905.53</v>
      </c>
      <c r="ATZ43">
        <v>32905.53</v>
      </c>
    </row>
    <row r="44" spans="2:1013 1040:1222" x14ac:dyDescent="0.25">
      <c r="B44" s="6">
        <v>7675</v>
      </c>
      <c r="LF44">
        <v>56303.45</v>
      </c>
      <c r="LG44">
        <v>56303.45</v>
      </c>
      <c r="LH44">
        <v>1</v>
      </c>
      <c r="LI44">
        <v>56303.45</v>
      </c>
      <c r="LJ44">
        <v>1</v>
      </c>
      <c r="LK44">
        <v>56303.45</v>
      </c>
      <c r="LL44">
        <v>56303.45</v>
      </c>
      <c r="MZ44">
        <v>56303.45</v>
      </c>
      <c r="ATZ44">
        <v>56303.45</v>
      </c>
    </row>
    <row r="45" spans="2:1013 1040:1222" x14ac:dyDescent="0.25">
      <c r="B45" s="6">
        <v>7893</v>
      </c>
      <c r="AMZ45">
        <v>48371.360000000001</v>
      </c>
      <c r="ANA45">
        <v>48371.360000000001</v>
      </c>
      <c r="ANB45">
        <v>1</v>
      </c>
      <c r="ANC45">
        <v>48371.360000000001</v>
      </c>
      <c r="AND45">
        <v>1</v>
      </c>
      <c r="ANE45">
        <v>48371.360000000001</v>
      </c>
      <c r="ANF45">
        <v>48371.360000000001</v>
      </c>
      <c r="ANM45">
        <v>48371.360000000001</v>
      </c>
      <c r="ATZ45">
        <v>48371.360000000001</v>
      </c>
    </row>
    <row r="46" spans="2:1013 1040:1222" x14ac:dyDescent="0.25">
      <c r="B46" s="6">
        <v>8012</v>
      </c>
      <c r="JF46">
        <v>82800.600000000006</v>
      </c>
      <c r="JG46">
        <v>1</v>
      </c>
      <c r="JH46">
        <v>82800.600000000006</v>
      </c>
      <c r="JI46">
        <v>1</v>
      </c>
      <c r="JJ46">
        <v>82800.600000000006</v>
      </c>
      <c r="JK46">
        <v>82800.600000000006</v>
      </c>
      <c r="JL46">
        <v>82800.600000000006</v>
      </c>
      <c r="ATZ46">
        <v>82800.600000000006</v>
      </c>
    </row>
    <row r="47" spans="2:1013 1040:1222" x14ac:dyDescent="0.25">
      <c r="B47" s="6">
        <v>8157</v>
      </c>
      <c r="ALW47">
        <v>50924.3</v>
      </c>
      <c r="ALX47">
        <v>50924.3</v>
      </c>
      <c r="ALY47">
        <v>50924.3</v>
      </c>
      <c r="ANM47">
        <v>50924.3</v>
      </c>
      <c r="ATZ47">
        <v>50924.3</v>
      </c>
    </row>
    <row r="48" spans="2:1013 1040:1222" x14ac:dyDescent="0.25">
      <c r="B48" s="6">
        <v>8417</v>
      </c>
      <c r="PY48">
        <v>83696.009999999995</v>
      </c>
      <c r="PZ48">
        <v>1</v>
      </c>
      <c r="QA48">
        <v>83696.009999999995</v>
      </c>
      <c r="QB48">
        <v>1</v>
      </c>
      <c r="QC48">
        <v>83696.009999999995</v>
      </c>
      <c r="QD48">
        <v>83696.009999999995</v>
      </c>
      <c r="RC48">
        <v>83696.009999999995</v>
      </c>
      <c r="ATZ48">
        <v>83696.009999999995</v>
      </c>
    </row>
    <row r="49" spans="2:1020 1053:1222" x14ac:dyDescent="0.25">
      <c r="B49" s="6">
        <v>8728</v>
      </c>
      <c r="RH49">
        <v>42659.75</v>
      </c>
      <c r="RI49">
        <v>42659.75</v>
      </c>
      <c r="RJ49">
        <v>1</v>
      </c>
      <c r="RK49">
        <v>42659.75</v>
      </c>
      <c r="RL49">
        <v>1</v>
      </c>
      <c r="RM49">
        <v>42659.75</v>
      </c>
      <c r="RN49">
        <v>42659.75</v>
      </c>
      <c r="TE49">
        <v>42659.75</v>
      </c>
      <c r="ATZ49">
        <v>42659.75</v>
      </c>
    </row>
    <row r="50" spans="2:1020 1053:1222" x14ac:dyDescent="0.25">
      <c r="B50" s="6">
        <v>8839</v>
      </c>
      <c r="XS50">
        <v>49644.62</v>
      </c>
      <c r="XT50">
        <v>1</v>
      </c>
      <c r="XU50">
        <v>49644.62</v>
      </c>
      <c r="XV50">
        <v>1</v>
      </c>
      <c r="XW50">
        <v>49644.62</v>
      </c>
      <c r="XX50">
        <v>49644.62</v>
      </c>
      <c r="ZG50">
        <v>49644.62</v>
      </c>
      <c r="ATZ50">
        <v>49644.62</v>
      </c>
    </row>
    <row r="51" spans="2:1020 1053:1222" x14ac:dyDescent="0.25">
      <c r="B51" s="6">
        <v>8883</v>
      </c>
      <c r="WO51">
        <v>29801.53</v>
      </c>
      <c r="WP51">
        <v>29801.53</v>
      </c>
      <c r="WQ51">
        <v>1</v>
      </c>
      <c r="WR51">
        <v>29801.53</v>
      </c>
      <c r="WS51">
        <v>1</v>
      </c>
      <c r="WT51">
        <v>29801.53</v>
      </c>
      <c r="WU51">
        <v>29801.53</v>
      </c>
      <c r="WY51">
        <v>29801.53</v>
      </c>
      <c r="ATZ51">
        <v>29801.53</v>
      </c>
    </row>
    <row r="52" spans="2:1020 1053:1222" x14ac:dyDescent="0.25">
      <c r="B52" s="6">
        <v>9090</v>
      </c>
      <c r="RD52">
        <v>87003.39</v>
      </c>
      <c r="RE52">
        <v>87003.39</v>
      </c>
      <c r="RF52">
        <v>87003.39</v>
      </c>
      <c r="RG52">
        <v>87003.39</v>
      </c>
      <c r="ATZ52">
        <v>87003.39</v>
      </c>
    </row>
    <row r="53" spans="2:1020 1053:1222" x14ac:dyDescent="0.25">
      <c r="B53" s="6">
        <v>9232</v>
      </c>
      <c r="Z53">
        <v>33997.99</v>
      </c>
      <c r="AA53">
        <v>1</v>
      </c>
      <c r="AB53">
        <v>33997.99</v>
      </c>
      <c r="AC53">
        <v>1</v>
      </c>
      <c r="AD53">
        <v>33997.99</v>
      </c>
      <c r="AE53">
        <v>33997.99</v>
      </c>
      <c r="AI53">
        <v>33997.99</v>
      </c>
      <c r="ATZ53">
        <v>33997.99</v>
      </c>
    </row>
    <row r="54" spans="2:1020 1053:1222" x14ac:dyDescent="0.25">
      <c r="B54" s="6">
        <v>9272</v>
      </c>
      <c r="FK54">
        <v>6349.19</v>
      </c>
      <c r="FL54">
        <v>6349.19</v>
      </c>
      <c r="FM54">
        <v>1</v>
      </c>
      <c r="FN54">
        <v>6349.19</v>
      </c>
      <c r="FO54">
        <v>1</v>
      </c>
      <c r="FP54">
        <v>6349.19</v>
      </c>
      <c r="FQ54">
        <v>6349.19</v>
      </c>
      <c r="FX54">
        <v>6349.19</v>
      </c>
      <c r="ATZ54">
        <v>6349.19</v>
      </c>
    </row>
    <row r="55" spans="2:1020 1053:1222" x14ac:dyDescent="0.25">
      <c r="B55" s="6">
        <v>9411</v>
      </c>
      <c r="BW55">
        <v>63170.44</v>
      </c>
      <c r="BX55">
        <v>63170.44</v>
      </c>
      <c r="BY55">
        <v>1</v>
      </c>
      <c r="BZ55">
        <v>63170.44</v>
      </c>
      <c r="CA55">
        <v>1</v>
      </c>
      <c r="CB55">
        <v>63170.44</v>
      </c>
      <c r="CC55">
        <v>63170.44</v>
      </c>
      <c r="CD55">
        <v>63170.44</v>
      </c>
      <c r="ATZ55">
        <v>63170.44</v>
      </c>
    </row>
    <row r="56" spans="2:1020 1053:1222" x14ac:dyDescent="0.25">
      <c r="B56" s="6">
        <v>10212</v>
      </c>
      <c r="NW56">
        <v>32464.2</v>
      </c>
      <c r="NX56">
        <v>32464.2</v>
      </c>
      <c r="NY56">
        <v>1</v>
      </c>
      <c r="NZ56">
        <v>32464.2</v>
      </c>
      <c r="OA56">
        <v>1</v>
      </c>
      <c r="OB56">
        <v>32464.2</v>
      </c>
      <c r="OC56">
        <v>32464.2</v>
      </c>
      <c r="OD56">
        <v>32464.2</v>
      </c>
      <c r="ATZ56">
        <v>32464.2</v>
      </c>
    </row>
    <row r="57" spans="2:1020 1053:1222" x14ac:dyDescent="0.25">
      <c r="B57" s="6">
        <v>10676</v>
      </c>
      <c r="SK57">
        <v>87614.3</v>
      </c>
      <c r="SL57">
        <v>1</v>
      </c>
      <c r="SM57">
        <v>87614.3</v>
      </c>
      <c r="SN57">
        <v>1</v>
      </c>
      <c r="SO57">
        <v>87614.3</v>
      </c>
      <c r="SP57">
        <v>87614.3</v>
      </c>
      <c r="TE57">
        <v>87614.3</v>
      </c>
      <c r="ATZ57">
        <v>87614.3</v>
      </c>
    </row>
    <row r="58" spans="2:1020 1053:1222" x14ac:dyDescent="0.25">
      <c r="B58" s="6">
        <v>13874</v>
      </c>
      <c r="KD58">
        <v>70555.59</v>
      </c>
      <c r="KE58">
        <v>70555.59</v>
      </c>
      <c r="KF58">
        <v>1</v>
      </c>
      <c r="KG58">
        <v>70555.59</v>
      </c>
      <c r="KH58">
        <v>1</v>
      </c>
      <c r="KI58">
        <v>70555.59</v>
      </c>
      <c r="KJ58">
        <v>70555.59</v>
      </c>
      <c r="KW58">
        <v>70555.59</v>
      </c>
      <c r="ATZ58">
        <v>70555.59</v>
      </c>
    </row>
    <row r="59" spans="2:1020 1053:1222" x14ac:dyDescent="0.25">
      <c r="B59" s="6">
        <v>14288</v>
      </c>
      <c r="SQ59">
        <v>54071.839999999997</v>
      </c>
      <c r="SR59">
        <v>54071.839999999997</v>
      </c>
      <c r="SS59">
        <v>54071.839999999997</v>
      </c>
      <c r="ST59">
        <v>1</v>
      </c>
      <c r="SU59">
        <v>54071.839999999997</v>
      </c>
      <c r="SV59">
        <v>1</v>
      </c>
      <c r="SW59">
        <v>54071.839999999997</v>
      </c>
      <c r="SX59">
        <v>54071.839999999997</v>
      </c>
      <c r="TE59">
        <v>54071.839999999997</v>
      </c>
      <c r="ATZ59">
        <v>54071.839999999997</v>
      </c>
    </row>
    <row r="60" spans="2:1020 1053:1222" x14ac:dyDescent="0.25">
      <c r="B60" s="6">
        <v>15788</v>
      </c>
      <c r="AST60">
        <v>16035.43</v>
      </c>
      <c r="ASU60">
        <v>1</v>
      </c>
      <c r="ASV60">
        <v>16035.43</v>
      </c>
      <c r="ASW60">
        <v>1</v>
      </c>
      <c r="ASX60">
        <v>16035.43</v>
      </c>
      <c r="ASY60">
        <v>16035.43</v>
      </c>
      <c r="ATH60">
        <v>16035.43</v>
      </c>
      <c r="ATZ60">
        <v>16035.43</v>
      </c>
    </row>
    <row r="61" spans="2:1020 1053:1222" x14ac:dyDescent="0.25">
      <c r="B61" s="6">
        <v>16312</v>
      </c>
      <c r="ADW61">
        <v>41410.54</v>
      </c>
      <c r="ADX61">
        <v>1</v>
      </c>
      <c r="ADY61">
        <v>41410.54</v>
      </c>
      <c r="ADZ61">
        <v>1</v>
      </c>
      <c r="AEA61">
        <v>41410.54</v>
      </c>
      <c r="AEB61">
        <v>41410.54</v>
      </c>
      <c r="AFV61">
        <v>41410.54</v>
      </c>
      <c r="ATZ61">
        <v>41410.54</v>
      </c>
    </row>
    <row r="62" spans="2:1020 1053:1222" x14ac:dyDescent="0.25">
      <c r="B62" s="6">
        <v>16377</v>
      </c>
      <c r="ALZ62">
        <v>54746.71</v>
      </c>
      <c r="AMA62">
        <v>54746.71</v>
      </c>
      <c r="AMB62">
        <v>1</v>
      </c>
      <c r="AMC62">
        <v>54746.71</v>
      </c>
      <c r="AMD62">
        <v>1</v>
      </c>
      <c r="AME62">
        <v>54746.71</v>
      </c>
      <c r="AMF62">
        <v>54746.71</v>
      </c>
      <c r="ANM62">
        <v>54746.71</v>
      </c>
      <c r="ATZ62">
        <v>54746.71</v>
      </c>
    </row>
    <row r="63" spans="2:1020 1053:1222" x14ac:dyDescent="0.25">
      <c r="B63" s="6">
        <v>17201</v>
      </c>
      <c r="AX63">
        <v>22863.95</v>
      </c>
      <c r="AY63">
        <v>22863.95</v>
      </c>
      <c r="AZ63">
        <v>22863.95</v>
      </c>
      <c r="BA63">
        <v>1</v>
      </c>
      <c r="BB63">
        <v>22863.95</v>
      </c>
      <c r="BC63">
        <v>1</v>
      </c>
      <c r="BD63">
        <v>22863.95</v>
      </c>
      <c r="BE63">
        <v>22863.95</v>
      </c>
      <c r="CD63">
        <v>22863.95</v>
      </c>
      <c r="ATZ63">
        <v>22863.95</v>
      </c>
    </row>
    <row r="64" spans="2:1020 1053:1222" x14ac:dyDescent="0.25">
      <c r="B64" s="6">
        <v>19783</v>
      </c>
      <c r="TF64">
        <v>14941.36</v>
      </c>
      <c r="TG64">
        <v>14941.36</v>
      </c>
      <c r="TH64">
        <v>14941.36</v>
      </c>
      <c r="TI64">
        <v>14941.36</v>
      </c>
      <c r="ATZ64">
        <v>14941.36</v>
      </c>
    </row>
    <row r="65" spans="2:1010 1090:1222" x14ac:dyDescent="0.25">
      <c r="B65" s="6">
        <v>22627</v>
      </c>
      <c r="PV65">
        <v>30979.24</v>
      </c>
      <c r="PW65">
        <v>30979.24</v>
      </c>
      <c r="PX65">
        <v>30979.24</v>
      </c>
      <c r="RC65">
        <v>30979.24</v>
      </c>
      <c r="ATZ65">
        <v>30979.24</v>
      </c>
    </row>
    <row r="66" spans="2:1010 1090:1222" x14ac:dyDescent="0.25">
      <c r="B66" s="6">
        <v>23958</v>
      </c>
      <c r="KQ66">
        <v>4118.1499999999996</v>
      </c>
      <c r="KR66">
        <v>1</v>
      </c>
      <c r="KS66">
        <v>4118.1499999999996</v>
      </c>
      <c r="KT66">
        <v>1</v>
      </c>
      <c r="KU66">
        <v>4118.1499999999996</v>
      </c>
      <c r="KV66">
        <v>4118.1499999999996</v>
      </c>
      <c r="KW66">
        <v>4118.1499999999996</v>
      </c>
      <c r="ATZ66">
        <v>4118.1499999999996</v>
      </c>
    </row>
    <row r="67" spans="2:1010 1090:1222" x14ac:dyDescent="0.25">
      <c r="B67" s="6">
        <v>24063</v>
      </c>
      <c r="AF67">
        <v>71549.95</v>
      </c>
      <c r="AG67">
        <v>71549.95</v>
      </c>
      <c r="AH67">
        <v>71549.95</v>
      </c>
      <c r="AI67">
        <v>71549.95</v>
      </c>
      <c r="ATZ67">
        <v>71549.95</v>
      </c>
    </row>
    <row r="68" spans="2:1010 1090:1222" x14ac:dyDescent="0.25">
      <c r="B68" s="6">
        <v>24213</v>
      </c>
      <c r="ARY68">
        <v>37203.35</v>
      </c>
      <c r="ARZ68">
        <v>37203.35</v>
      </c>
      <c r="ASA68">
        <v>37203.35</v>
      </c>
      <c r="ASB68">
        <v>1</v>
      </c>
      <c r="ASC68">
        <v>37203.35</v>
      </c>
      <c r="ASD68">
        <v>1</v>
      </c>
      <c r="ASE68">
        <v>37203.35</v>
      </c>
      <c r="ASF68">
        <v>37203.35</v>
      </c>
      <c r="ATH68">
        <v>37203.35</v>
      </c>
      <c r="ATZ68">
        <v>37203.35</v>
      </c>
    </row>
    <row r="69" spans="2:1010 1090:1222" x14ac:dyDescent="0.25">
      <c r="B69" s="6">
        <v>24471</v>
      </c>
      <c r="WA69">
        <v>29270.35</v>
      </c>
      <c r="WB69">
        <v>29270.35</v>
      </c>
      <c r="WC69">
        <v>1</v>
      </c>
      <c r="WD69">
        <v>29270.35</v>
      </c>
      <c r="WE69">
        <v>1</v>
      </c>
      <c r="WF69">
        <v>29270.35</v>
      </c>
      <c r="WG69">
        <v>29270.35</v>
      </c>
      <c r="WY69">
        <v>29270.35</v>
      </c>
      <c r="ATZ69">
        <v>29270.35</v>
      </c>
    </row>
    <row r="70" spans="2:1010 1090:1222" x14ac:dyDescent="0.25">
      <c r="B70" s="6">
        <v>26384</v>
      </c>
      <c r="AOX70">
        <v>78029.36</v>
      </c>
      <c r="AOY70">
        <v>78029.36</v>
      </c>
      <c r="AOZ70">
        <v>1</v>
      </c>
      <c r="APA70">
        <v>78029.36</v>
      </c>
      <c r="APB70">
        <v>1</v>
      </c>
      <c r="APC70">
        <v>78029.36</v>
      </c>
      <c r="APD70">
        <v>78029.36</v>
      </c>
      <c r="APL70">
        <v>78029.36</v>
      </c>
      <c r="ATZ70">
        <v>78029.36</v>
      </c>
    </row>
    <row r="71" spans="2:1010 1090:1222" x14ac:dyDescent="0.25">
      <c r="B71" s="6">
        <v>27808</v>
      </c>
      <c r="ABJ71">
        <v>38061.58</v>
      </c>
      <c r="ABK71">
        <v>38061.58</v>
      </c>
      <c r="ABL71">
        <v>38061.58</v>
      </c>
      <c r="ABM71">
        <v>1</v>
      </c>
      <c r="ABN71">
        <v>38061.58</v>
      </c>
      <c r="ABO71">
        <v>1</v>
      </c>
      <c r="ABP71">
        <v>38061.58</v>
      </c>
      <c r="ABQ71">
        <v>38061.58</v>
      </c>
      <c r="ABR71">
        <v>38061.58</v>
      </c>
      <c r="ATZ71">
        <v>38061.58</v>
      </c>
    </row>
    <row r="72" spans="2:1010 1090:1222" x14ac:dyDescent="0.25">
      <c r="B72" s="6">
        <v>28572</v>
      </c>
      <c r="AHD72">
        <v>19359.05</v>
      </c>
      <c r="AHE72">
        <v>1</v>
      </c>
      <c r="AHF72">
        <v>19359.05</v>
      </c>
      <c r="AHG72">
        <v>1</v>
      </c>
      <c r="AHH72">
        <v>19359.05</v>
      </c>
      <c r="AHI72">
        <v>19359.05</v>
      </c>
      <c r="AHQ72">
        <v>19359.05</v>
      </c>
      <c r="ATZ72">
        <v>19359.05</v>
      </c>
    </row>
    <row r="73" spans="2:1010 1090:1222" x14ac:dyDescent="0.25">
      <c r="B73" s="6">
        <v>29163</v>
      </c>
      <c r="LM73">
        <v>70471.25</v>
      </c>
      <c r="LN73">
        <v>70471.25</v>
      </c>
      <c r="LO73">
        <v>1</v>
      </c>
      <c r="LP73">
        <v>70471.25</v>
      </c>
      <c r="LQ73">
        <v>1</v>
      </c>
      <c r="LR73">
        <v>70471.25</v>
      </c>
      <c r="LS73">
        <v>70471.25</v>
      </c>
      <c r="MZ73">
        <v>70471.25</v>
      </c>
      <c r="ATZ73">
        <v>70471.25</v>
      </c>
    </row>
    <row r="74" spans="2:1010 1090:1222" x14ac:dyDescent="0.25">
      <c r="B74" s="6">
        <v>30238</v>
      </c>
      <c r="AIW74">
        <v>27932.68</v>
      </c>
      <c r="AIX74">
        <v>1</v>
      </c>
      <c r="AIY74">
        <v>27932.68</v>
      </c>
      <c r="AIZ74">
        <v>1</v>
      </c>
      <c r="AJA74">
        <v>27932.68</v>
      </c>
      <c r="AJB74">
        <v>27932.68</v>
      </c>
      <c r="AKC74">
        <v>27932.68</v>
      </c>
      <c r="ATZ74">
        <v>27932.68</v>
      </c>
    </row>
    <row r="75" spans="2:1010 1090:1222" x14ac:dyDescent="0.25">
      <c r="B75" s="6">
        <v>30403</v>
      </c>
      <c r="ALS75">
        <v>86954.37</v>
      </c>
      <c r="ALT75">
        <v>86954.37</v>
      </c>
      <c r="ALU75">
        <v>86954.37</v>
      </c>
      <c r="ALV75">
        <v>86954.37</v>
      </c>
      <c r="ATZ75">
        <v>86954.37</v>
      </c>
    </row>
    <row r="76" spans="2:1010 1090:1222" x14ac:dyDescent="0.25">
      <c r="B76" s="6">
        <v>30887</v>
      </c>
      <c r="AQ76">
        <v>24350.75</v>
      </c>
      <c r="AR76">
        <v>24350.75</v>
      </c>
      <c r="AS76">
        <v>1</v>
      </c>
      <c r="AT76">
        <v>24350.75</v>
      </c>
      <c r="AU76">
        <v>1</v>
      </c>
      <c r="AV76">
        <v>24350.75</v>
      </c>
      <c r="AW76">
        <v>24350.75</v>
      </c>
      <c r="CD76">
        <v>24350.75</v>
      </c>
      <c r="ATZ76">
        <v>24350.75</v>
      </c>
    </row>
    <row r="77" spans="2:1010 1090:1222" x14ac:dyDescent="0.25">
      <c r="B77" s="6">
        <v>31152</v>
      </c>
      <c r="FR77">
        <v>53087.93</v>
      </c>
      <c r="FS77">
        <v>1</v>
      </c>
      <c r="FT77">
        <v>53087.93</v>
      </c>
      <c r="FU77">
        <v>1</v>
      </c>
      <c r="FV77">
        <v>53087.93</v>
      </c>
      <c r="FW77">
        <v>53087.93</v>
      </c>
      <c r="FX77">
        <v>53087.93</v>
      </c>
      <c r="ATZ77">
        <v>53087.93</v>
      </c>
    </row>
    <row r="78" spans="2:1010 1090:1222" x14ac:dyDescent="0.25">
      <c r="B78" s="6">
        <v>31204</v>
      </c>
      <c r="ADJ78">
        <v>64703.05</v>
      </c>
      <c r="ADK78">
        <v>64703.05</v>
      </c>
      <c r="ADL78">
        <v>1</v>
      </c>
      <c r="ADM78">
        <v>64703.05</v>
      </c>
      <c r="ADN78">
        <v>1</v>
      </c>
      <c r="ADO78">
        <v>64703.05</v>
      </c>
      <c r="ADP78">
        <v>64703.05</v>
      </c>
      <c r="AFV78">
        <v>64703.05</v>
      </c>
      <c r="ATZ78">
        <v>64703.05</v>
      </c>
    </row>
    <row r="79" spans="2:1010 1090:1222" x14ac:dyDescent="0.25">
      <c r="B79" s="6">
        <v>31533</v>
      </c>
      <c r="QM79">
        <v>5829.39</v>
      </c>
      <c r="QN79">
        <v>5829.39</v>
      </c>
      <c r="QO79">
        <v>5829.39</v>
      </c>
      <c r="RC79">
        <v>5829.39</v>
      </c>
      <c r="ATZ79">
        <v>5829.39</v>
      </c>
    </row>
    <row r="80" spans="2:1010 1090:1222" x14ac:dyDescent="0.25">
      <c r="B80" s="6">
        <v>32219</v>
      </c>
      <c r="UJ80">
        <v>81192.95</v>
      </c>
      <c r="UK80">
        <v>1</v>
      </c>
      <c r="UL80">
        <v>81192.95</v>
      </c>
      <c r="UM80">
        <v>1</v>
      </c>
      <c r="UN80">
        <v>81192.95</v>
      </c>
      <c r="UO80">
        <v>81192.95</v>
      </c>
      <c r="VT80">
        <v>81192.95</v>
      </c>
      <c r="ATZ80">
        <v>81192.95</v>
      </c>
    </row>
    <row r="81" spans="2:965 1047:1222" x14ac:dyDescent="0.25">
      <c r="B81" s="6">
        <v>33461</v>
      </c>
      <c r="AAZ81">
        <v>82311.7</v>
      </c>
      <c r="ABA81">
        <v>82311.7</v>
      </c>
      <c r="ABB81">
        <v>82311.7</v>
      </c>
      <c r="ABR81">
        <v>82311.7</v>
      </c>
      <c r="ATZ81">
        <v>82311.7</v>
      </c>
    </row>
    <row r="82" spans="2:965 1047:1222" x14ac:dyDescent="0.25">
      <c r="B82" s="6">
        <v>35146</v>
      </c>
      <c r="ABC82">
        <v>71347.63</v>
      </c>
      <c r="ABD82">
        <v>71347.63</v>
      </c>
      <c r="ABE82">
        <v>1</v>
      </c>
      <c r="ABF82">
        <v>71347.63</v>
      </c>
      <c r="ABG82">
        <v>1</v>
      </c>
      <c r="ABH82">
        <v>71347.63</v>
      </c>
      <c r="ABI82">
        <v>71347.63</v>
      </c>
      <c r="ABR82">
        <v>71347.63</v>
      </c>
      <c r="ATZ82">
        <v>71347.63</v>
      </c>
    </row>
    <row r="83" spans="2:965 1047:1222" x14ac:dyDescent="0.25">
      <c r="B83" s="6">
        <v>35735</v>
      </c>
      <c r="CE83">
        <v>63779.9</v>
      </c>
      <c r="CF83">
        <v>63779.9</v>
      </c>
      <c r="CG83">
        <v>63779.9</v>
      </c>
      <c r="CH83">
        <v>1</v>
      </c>
      <c r="CI83">
        <v>63779.9</v>
      </c>
      <c r="CJ83">
        <v>1</v>
      </c>
      <c r="CK83">
        <v>63779.9</v>
      </c>
      <c r="CL83">
        <v>63779.9</v>
      </c>
      <c r="DU83">
        <v>63779.9</v>
      </c>
      <c r="ATZ83">
        <v>63779.9</v>
      </c>
    </row>
    <row r="84" spans="2:965 1047:1222" x14ac:dyDescent="0.25">
      <c r="B84" s="6">
        <v>36395</v>
      </c>
      <c r="AFI84">
        <v>79253.179999999993</v>
      </c>
      <c r="AFJ84">
        <v>1</v>
      </c>
      <c r="AFK84">
        <v>79253.179999999993</v>
      </c>
      <c r="AFL84">
        <v>1</v>
      </c>
      <c r="AFM84">
        <v>79253.179999999993</v>
      </c>
      <c r="AFN84">
        <v>79253.179999999993</v>
      </c>
      <c r="AFV84">
        <v>79253.179999999993</v>
      </c>
      <c r="ATZ84">
        <v>79253.179999999993</v>
      </c>
    </row>
    <row r="85" spans="2:965 1047:1222" x14ac:dyDescent="0.25">
      <c r="B85" s="6">
        <v>36613</v>
      </c>
      <c r="AHJ85">
        <v>36485.56</v>
      </c>
      <c r="AHK85">
        <v>36485.56</v>
      </c>
      <c r="AHL85">
        <v>1</v>
      </c>
      <c r="AHM85">
        <v>36485.56</v>
      </c>
      <c r="AHN85">
        <v>1</v>
      </c>
      <c r="AHO85">
        <v>36485.56</v>
      </c>
      <c r="AHP85">
        <v>36485.56</v>
      </c>
      <c r="AHQ85">
        <v>36485.56</v>
      </c>
      <c r="ATZ85">
        <v>36485.56</v>
      </c>
    </row>
    <row r="86" spans="2:965 1047:1222" x14ac:dyDescent="0.25">
      <c r="B86" s="6">
        <v>36744</v>
      </c>
      <c r="VD86">
        <v>82849.77</v>
      </c>
      <c r="VE86">
        <v>82849.77</v>
      </c>
      <c r="VF86">
        <v>82849.77</v>
      </c>
      <c r="VG86">
        <v>1</v>
      </c>
      <c r="VH86">
        <v>82849.77</v>
      </c>
      <c r="VI86">
        <v>1</v>
      </c>
      <c r="VJ86">
        <v>82849.77</v>
      </c>
      <c r="VK86">
        <v>82849.77</v>
      </c>
      <c r="VT86">
        <v>82849.77</v>
      </c>
      <c r="ATZ86">
        <v>82849.77</v>
      </c>
    </row>
    <row r="87" spans="2:965 1047:1222" x14ac:dyDescent="0.25">
      <c r="B87" s="6">
        <v>41136</v>
      </c>
      <c r="CS87">
        <v>4157.6499999999996</v>
      </c>
      <c r="CT87">
        <v>1</v>
      </c>
      <c r="CU87">
        <v>4157.6499999999996</v>
      </c>
      <c r="CV87">
        <v>1</v>
      </c>
      <c r="CW87">
        <v>4157.6499999999996</v>
      </c>
      <c r="CX87">
        <v>4157.6499999999996</v>
      </c>
      <c r="DU87">
        <v>4157.6499999999996</v>
      </c>
      <c r="ATZ87">
        <v>4157.6499999999996</v>
      </c>
    </row>
    <row r="88" spans="2:965 1047:1222" x14ac:dyDescent="0.25">
      <c r="B88" s="6">
        <v>41418</v>
      </c>
      <c r="MR88">
        <v>44012.4</v>
      </c>
      <c r="MS88">
        <v>44012.4</v>
      </c>
      <c r="MT88">
        <v>44012.4</v>
      </c>
      <c r="MU88">
        <v>1</v>
      </c>
      <c r="MV88">
        <v>44012.4</v>
      </c>
      <c r="MW88">
        <v>1</v>
      </c>
      <c r="MX88">
        <v>44012.4</v>
      </c>
      <c r="MY88">
        <v>44012.4</v>
      </c>
      <c r="MZ88">
        <v>44012.4</v>
      </c>
      <c r="ATZ88">
        <v>44012.4</v>
      </c>
    </row>
    <row r="89" spans="2:965 1047:1222" x14ac:dyDescent="0.25">
      <c r="B89" s="6">
        <v>42618</v>
      </c>
      <c r="FE89">
        <v>25362.35</v>
      </c>
      <c r="FF89">
        <v>25362.35</v>
      </c>
      <c r="FG89">
        <v>25362.35</v>
      </c>
      <c r="FX89">
        <v>25362.35</v>
      </c>
      <c r="ATZ89">
        <v>25362.35</v>
      </c>
    </row>
    <row r="90" spans="2:965 1047:1222" x14ac:dyDescent="0.25">
      <c r="B90" s="6">
        <v>43936</v>
      </c>
      <c r="ATP90">
        <v>87450</v>
      </c>
      <c r="ATQ90">
        <v>87450</v>
      </c>
      <c r="ATR90">
        <v>87450</v>
      </c>
      <c r="ATY90">
        <v>87450</v>
      </c>
      <c r="ATZ90">
        <v>87450</v>
      </c>
    </row>
    <row r="91" spans="2:965 1047:1222" x14ac:dyDescent="0.25">
      <c r="B91" s="6">
        <v>44215</v>
      </c>
      <c r="ANG91">
        <v>58789.74</v>
      </c>
      <c r="ANH91">
        <v>1</v>
      </c>
      <c r="ANI91">
        <v>58789.74</v>
      </c>
      <c r="ANJ91">
        <v>1</v>
      </c>
      <c r="ANK91">
        <v>58789.74</v>
      </c>
      <c r="ANL91">
        <v>58789.74</v>
      </c>
      <c r="ANM91">
        <v>58789.74</v>
      </c>
      <c r="ATZ91">
        <v>58789.74</v>
      </c>
    </row>
    <row r="92" spans="2:965 1047:1222" x14ac:dyDescent="0.25">
      <c r="B92" s="6">
        <v>44280</v>
      </c>
      <c r="PG92">
        <v>64562.14</v>
      </c>
      <c r="PH92">
        <v>64562.14</v>
      </c>
      <c r="PI92">
        <v>64562.14</v>
      </c>
      <c r="PJ92">
        <v>64562.14</v>
      </c>
      <c r="ATZ92">
        <v>64562.14</v>
      </c>
    </row>
    <row r="93" spans="2:965 1047:1222" x14ac:dyDescent="0.25">
      <c r="B93" s="6">
        <v>44456</v>
      </c>
      <c r="AJF93">
        <v>58282.41</v>
      </c>
      <c r="AJG93">
        <v>58282.41</v>
      </c>
      <c r="AJH93">
        <v>1</v>
      </c>
      <c r="AJI93">
        <v>58282.41</v>
      </c>
      <c r="AJJ93">
        <v>1</v>
      </c>
      <c r="AJK93">
        <v>58282.41</v>
      </c>
      <c r="AJL93">
        <v>58282.41</v>
      </c>
      <c r="AKC93">
        <v>58282.41</v>
      </c>
      <c r="ATZ93">
        <v>58282.41</v>
      </c>
    </row>
    <row r="94" spans="2:965 1047:1222" x14ac:dyDescent="0.25">
      <c r="B94" s="6">
        <v>46865</v>
      </c>
      <c r="AEC94">
        <v>6380.07</v>
      </c>
      <c r="AED94">
        <v>6380.07</v>
      </c>
      <c r="AEE94">
        <v>6380.07</v>
      </c>
      <c r="AFV94">
        <v>6380.07</v>
      </c>
      <c r="ATZ94">
        <v>6380.07</v>
      </c>
    </row>
    <row r="95" spans="2:965 1047:1222" x14ac:dyDescent="0.25">
      <c r="B95" s="6">
        <v>47138</v>
      </c>
      <c r="HU95">
        <v>88422.06</v>
      </c>
      <c r="HV95">
        <v>88422.06</v>
      </c>
      <c r="HW95">
        <v>1</v>
      </c>
      <c r="HX95">
        <v>88422.06</v>
      </c>
      <c r="HY95">
        <v>1</v>
      </c>
      <c r="HZ95">
        <v>88422.06</v>
      </c>
      <c r="IA95">
        <v>88422.06</v>
      </c>
      <c r="IK95">
        <v>88422.06</v>
      </c>
      <c r="ATZ95">
        <v>88422.06</v>
      </c>
    </row>
    <row r="96" spans="2:965 1047:1222" x14ac:dyDescent="0.25">
      <c r="B96" s="6">
        <v>48802</v>
      </c>
      <c r="BM96">
        <v>49286.720000000001</v>
      </c>
      <c r="BN96">
        <v>49286.720000000001</v>
      </c>
      <c r="BO96">
        <v>1</v>
      </c>
      <c r="BP96">
        <v>49286.720000000001</v>
      </c>
      <c r="BQ96">
        <v>1</v>
      </c>
      <c r="BR96">
        <v>49286.720000000001</v>
      </c>
      <c r="BS96">
        <v>49286.720000000001</v>
      </c>
      <c r="CD96">
        <v>49286.720000000001</v>
      </c>
      <c r="ATZ96">
        <v>49286.720000000001</v>
      </c>
    </row>
    <row r="97" spans="2:932 1027:1222" x14ac:dyDescent="0.25">
      <c r="B97" s="6">
        <v>50554</v>
      </c>
      <c r="AMM97">
        <v>10628.5</v>
      </c>
      <c r="AMN97">
        <v>10628.5</v>
      </c>
      <c r="AMO97">
        <v>1</v>
      </c>
      <c r="AMP97">
        <v>10628.5</v>
      </c>
      <c r="AMQ97">
        <v>1</v>
      </c>
      <c r="AMR97">
        <v>10628.5</v>
      </c>
      <c r="AMS97">
        <v>10628.5</v>
      </c>
      <c r="ANM97">
        <v>10628.5</v>
      </c>
      <c r="ATZ97">
        <v>10628.5</v>
      </c>
    </row>
    <row r="98" spans="2:932 1027:1222" x14ac:dyDescent="0.25">
      <c r="B98" s="6">
        <v>50804</v>
      </c>
      <c r="OK98">
        <v>33731.56</v>
      </c>
      <c r="OL98">
        <v>1</v>
      </c>
      <c r="OM98">
        <v>33731.56</v>
      </c>
      <c r="ON98">
        <v>1</v>
      </c>
      <c r="OO98">
        <v>33731.56</v>
      </c>
      <c r="OP98">
        <v>33731.56</v>
      </c>
      <c r="PJ98">
        <v>33731.56</v>
      </c>
      <c r="ATZ98">
        <v>33731.56</v>
      </c>
    </row>
    <row r="99" spans="2:932 1027:1222" x14ac:dyDescent="0.25">
      <c r="B99" s="6">
        <v>53962</v>
      </c>
      <c r="MJ99">
        <v>71699.37</v>
      </c>
      <c r="MK99">
        <v>71699.37</v>
      </c>
      <c r="ML99">
        <v>71699.37</v>
      </c>
      <c r="MM99">
        <v>1</v>
      </c>
      <c r="MN99">
        <v>71699.37</v>
      </c>
      <c r="MO99">
        <v>1</v>
      </c>
      <c r="MP99">
        <v>71699.37</v>
      </c>
      <c r="MQ99">
        <v>71699.37</v>
      </c>
      <c r="MZ99">
        <v>71699.37</v>
      </c>
      <c r="ATZ99">
        <v>71699.37</v>
      </c>
    </row>
    <row r="100" spans="2:932 1027:1222" x14ac:dyDescent="0.25">
      <c r="B100" s="6">
        <v>61326</v>
      </c>
      <c r="AET100">
        <v>74933.490000000005</v>
      </c>
      <c r="AEU100">
        <v>74933.490000000005</v>
      </c>
      <c r="AEV100">
        <v>1</v>
      </c>
      <c r="AEW100">
        <v>74933.490000000005</v>
      </c>
      <c r="AEX100">
        <v>1</v>
      </c>
      <c r="AEY100">
        <v>74933.490000000005</v>
      </c>
      <c r="AEZ100">
        <v>74933.490000000005</v>
      </c>
      <c r="AFV100">
        <v>74933.490000000005</v>
      </c>
      <c r="ATZ100">
        <v>74933.490000000005</v>
      </c>
    </row>
    <row r="101" spans="2:932 1027:1222" x14ac:dyDescent="0.25">
      <c r="B101" s="6">
        <v>65453</v>
      </c>
      <c r="WZ101">
        <v>48578.11</v>
      </c>
      <c r="XA101">
        <v>1</v>
      </c>
      <c r="XB101">
        <v>48578.11</v>
      </c>
      <c r="XC101">
        <v>1</v>
      </c>
      <c r="XD101">
        <v>48578.11</v>
      </c>
      <c r="XE101">
        <v>48578.11</v>
      </c>
      <c r="ZG101">
        <v>48578.11</v>
      </c>
      <c r="ATZ101">
        <v>48578.11</v>
      </c>
    </row>
    <row r="102" spans="2:932 1027:1222" x14ac:dyDescent="0.25">
      <c r="B102" s="6">
        <v>66315</v>
      </c>
      <c r="AIG102">
        <v>48316.49</v>
      </c>
      <c r="AIH102">
        <v>48316.49</v>
      </c>
      <c r="AII102">
        <v>1</v>
      </c>
      <c r="AIJ102">
        <v>48316.49</v>
      </c>
      <c r="AIK102">
        <v>1</v>
      </c>
      <c r="AIL102">
        <v>48316.49</v>
      </c>
      <c r="AIM102">
        <v>48316.49</v>
      </c>
      <c r="AIV102">
        <v>48316.49</v>
      </c>
      <c r="ATZ102">
        <v>48316.49</v>
      </c>
    </row>
    <row r="103" spans="2:932 1027:1222" x14ac:dyDescent="0.25">
      <c r="B103" s="6">
        <v>66827</v>
      </c>
      <c r="PK103">
        <v>46521.04</v>
      </c>
      <c r="PL103">
        <v>46521.04</v>
      </c>
      <c r="PM103">
        <v>46521.04</v>
      </c>
      <c r="PN103">
        <v>1</v>
      </c>
      <c r="PO103">
        <v>46521.04</v>
      </c>
      <c r="PP103">
        <v>1</v>
      </c>
      <c r="PQ103">
        <v>46521.04</v>
      </c>
      <c r="PR103">
        <v>46521.04</v>
      </c>
      <c r="RC103">
        <v>46521.04</v>
      </c>
      <c r="ATZ103">
        <v>46521.04</v>
      </c>
    </row>
    <row r="104" spans="2:932 1027:1222" x14ac:dyDescent="0.25">
      <c r="B104" s="6">
        <v>67413</v>
      </c>
      <c r="ZO104">
        <v>26129.51</v>
      </c>
      <c r="ZP104">
        <v>1</v>
      </c>
      <c r="ZQ104">
        <v>26129.51</v>
      </c>
      <c r="ZR104">
        <v>1</v>
      </c>
      <c r="ZS104">
        <v>26129.51</v>
      </c>
      <c r="ZT104">
        <v>26129.51</v>
      </c>
      <c r="ABR104">
        <v>26129.51</v>
      </c>
      <c r="ATZ104">
        <v>26129.51</v>
      </c>
    </row>
    <row r="105" spans="2:932 1027:1222" x14ac:dyDescent="0.25">
      <c r="B105" s="6">
        <v>71129</v>
      </c>
      <c r="AFO105">
        <v>21572.26</v>
      </c>
      <c r="AFP105">
        <v>21572.26</v>
      </c>
      <c r="AFQ105">
        <v>1</v>
      </c>
      <c r="AFR105">
        <v>21572.26</v>
      </c>
      <c r="AFS105">
        <v>1</v>
      </c>
      <c r="AFT105">
        <v>21572.26</v>
      </c>
      <c r="AFU105">
        <v>21572.26</v>
      </c>
      <c r="AFV105">
        <v>21572.26</v>
      </c>
      <c r="ATZ105">
        <v>21572.26</v>
      </c>
    </row>
    <row r="106" spans="2:932 1027:1222" x14ac:dyDescent="0.25">
      <c r="B106" s="6">
        <v>77682</v>
      </c>
      <c r="ASZ106">
        <v>16861.830000000002</v>
      </c>
      <c r="ATA106">
        <v>16861.830000000002</v>
      </c>
      <c r="ATB106">
        <v>16861.830000000002</v>
      </c>
      <c r="ATC106">
        <v>1</v>
      </c>
      <c r="ATD106">
        <v>16861.830000000002</v>
      </c>
      <c r="ATE106">
        <v>1</v>
      </c>
      <c r="ATF106">
        <v>16861.830000000002</v>
      </c>
      <c r="ATG106">
        <v>16861.830000000002</v>
      </c>
      <c r="ATH106">
        <v>16861.830000000002</v>
      </c>
      <c r="ATZ106">
        <v>16861.830000000002</v>
      </c>
    </row>
    <row r="107" spans="2:932 1027:1222" x14ac:dyDescent="0.25">
      <c r="B107" s="6">
        <v>83029</v>
      </c>
      <c r="SH107">
        <v>60972.66</v>
      </c>
      <c r="SI107">
        <v>60972.66</v>
      </c>
      <c r="SJ107">
        <v>60972.66</v>
      </c>
      <c r="TE107">
        <v>60972.66</v>
      </c>
      <c r="ATZ107">
        <v>60972.66</v>
      </c>
    </row>
    <row r="108" spans="2:932 1027:1222" x14ac:dyDescent="0.25">
      <c r="B108" s="6">
        <v>84412</v>
      </c>
      <c r="RO108">
        <v>40060.519999999997</v>
      </c>
      <c r="RP108">
        <v>40060.519999999997</v>
      </c>
      <c r="RQ108">
        <v>1</v>
      </c>
      <c r="RR108">
        <v>40060.519999999997</v>
      </c>
      <c r="RS108">
        <v>1</v>
      </c>
      <c r="RT108">
        <v>40060.519999999997</v>
      </c>
      <c r="RU108">
        <v>40060.519999999997</v>
      </c>
      <c r="TE108">
        <v>40060.519999999997</v>
      </c>
      <c r="ATZ108">
        <v>40060.519999999997</v>
      </c>
    </row>
    <row r="109" spans="2:932 1027:1222" x14ac:dyDescent="0.25">
      <c r="B109" s="6">
        <v>92580</v>
      </c>
      <c r="NK109">
        <v>40608.43</v>
      </c>
      <c r="NL109">
        <v>1</v>
      </c>
      <c r="NM109">
        <v>40608.43</v>
      </c>
      <c r="NN109">
        <v>1</v>
      </c>
      <c r="NO109">
        <v>40608.43</v>
      </c>
      <c r="NP109">
        <v>40608.43</v>
      </c>
      <c r="OD109">
        <v>40608.43</v>
      </c>
      <c r="ATZ109">
        <v>40608.43</v>
      </c>
    </row>
    <row r="110" spans="2:932 1027:1222" x14ac:dyDescent="0.25">
      <c r="B110" s="6">
        <v>94599</v>
      </c>
      <c r="K110">
        <v>20402.2</v>
      </c>
      <c r="L110">
        <v>20402.2</v>
      </c>
      <c r="M110">
        <v>20402.2</v>
      </c>
      <c r="N110">
        <v>1</v>
      </c>
      <c r="O110">
        <v>20402.2</v>
      </c>
      <c r="P110">
        <v>1</v>
      </c>
      <c r="Q110">
        <v>20402.2</v>
      </c>
      <c r="R110">
        <v>20402.2</v>
      </c>
      <c r="AI110">
        <v>20402.2</v>
      </c>
      <c r="ATZ110">
        <v>20402.2</v>
      </c>
    </row>
    <row r="111" spans="2:932 1027:1222" x14ac:dyDescent="0.25">
      <c r="B111" s="6">
        <v>97472</v>
      </c>
      <c r="EG111">
        <v>63074.64</v>
      </c>
      <c r="EH111">
        <v>1</v>
      </c>
      <c r="EI111">
        <v>63074.64</v>
      </c>
      <c r="EJ111">
        <v>1</v>
      </c>
      <c r="EK111">
        <v>63074.64</v>
      </c>
      <c r="EL111">
        <v>63074.64</v>
      </c>
      <c r="FX111">
        <v>63074.64</v>
      </c>
      <c r="ATZ111">
        <v>63074.64</v>
      </c>
    </row>
    <row r="112" spans="2:932 1027:1222" x14ac:dyDescent="0.25">
      <c r="B112" s="6">
        <v>98651</v>
      </c>
      <c r="TS112">
        <v>13242.66</v>
      </c>
      <c r="TT112">
        <v>13242.66</v>
      </c>
      <c r="TU112">
        <v>13242.66</v>
      </c>
      <c r="TV112">
        <v>1</v>
      </c>
      <c r="TW112">
        <v>13242.66</v>
      </c>
      <c r="TX112">
        <v>1</v>
      </c>
      <c r="TY112">
        <v>13242.66</v>
      </c>
      <c r="TZ112">
        <v>13242.66</v>
      </c>
      <c r="UI112">
        <v>13242.66</v>
      </c>
      <c r="ATZ112">
        <v>13242.66</v>
      </c>
    </row>
    <row r="113" spans="2:1010 1061:1222" x14ac:dyDescent="0.25">
      <c r="B113" s="6">
        <v>104565</v>
      </c>
      <c r="OX113">
        <v>56385.51</v>
      </c>
      <c r="OY113">
        <v>56385.51</v>
      </c>
      <c r="OZ113">
        <v>56385.51</v>
      </c>
      <c r="PJ113">
        <v>56385.51</v>
      </c>
      <c r="ATZ113">
        <v>56385.51</v>
      </c>
    </row>
    <row r="114" spans="2:1010 1061:1222" x14ac:dyDescent="0.25">
      <c r="B114" s="6">
        <v>105817</v>
      </c>
      <c r="AHA114">
        <v>21539.16</v>
      </c>
      <c r="AHB114">
        <v>21539.16</v>
      </c>
      <c r="AHC114">
        <v>21539.16</v>
      </c>
      <c r="AHQ114">
        <v>21539.16</v>
      </c>
      <c r="ATZ114">
        <v>21539.16</v>
      </c>
    </row>
    <row r="115" spans="2:1010 1061:1222" x14ac:dyDescent="0.25">
      <c r="B115" s="6">
        <v>146442</v>
      </c>
      <c r="NH115">
        <v>13302.79</v>
      </c>
      <c r="NI115">
        <v>13302.79</v>
      </c>
      <c r="NJ115">
        <v>13302.79</v>
      </c>
      <c r="OD115">
        <v>13302.79</v>
      </c>
      <c r="ATZ115">
        <v>13302.79</v>
      </c>
    </row>
    <row r="116" spans="2:1010 1061:1222" x14ac:dyDescent="0.25">
      <c r="B116" s="6">
        <v>149260</v>
      </c>
      <c r="AQN116">
        <v>73875.25</v>
      </c>
      <c r="AQO116">
        <v>73875.25</v>
      </c>
      <c r="AQP116">
        <v>1</v>
      </c>
      <c r="AQQ116">
        <v>73875.25</v>
      </c>
      <c r="AQR116">
        <v>1</v>
      </c>
      <c r="AQS116">
        <v>73875.25</v>
      </c>
      <c r="AQT116">
        <v>73875.25</v>
      </c>
      <c r="ARU116">
        <v>73875.25</v>
      </c>
      <c r="ATZ116">
        <v>73875.25</v>
      </c>
    </row>
    <row r="117" spans="2:1010 1061:1222" x14ac:dyDescent="0.25">
      <c r="B117" s="6">
        <v>161590</v>
      </c>
      <c r="AOK117">
        <v>58381.49</v>
      </c>
      <c r="AOL117">
        <v>1</v>
      </c>
      <c r="AOM117">
        <v>58381.49</v>
      </c>
      <c r="AON117">
        <v>1</v>
      </c>
      <c r="AOO117">
        <v>58381.49</v>
      </c>
      <c r="AOP117">
        <v>58381.49</v>
      </c>
      <c r="APL117">
        <v>58381.49</v>
      </c>
      <c r="ATZ117">
        <v>58381.49</v>
      </c>
    </row>
    <row r="118" spans="2:1010 1061:1222" x14ac:dyDescent="0.25">
      <c r="B118" s="6">
        <v>161758</v>
      </c>
      <c r="ADQ118">
        <v>12962.91</v>
      </c>
      <c r="ADR118">
        <v>1</v>
      </c>
      <c r="ADS118">
        <v>12962.91</v>
      </c>
      <c r="ADT118">
        <v>1</v>
      </c>
      <c r="ADU118">
        <v>12962.91</v>
      </c>
      <c r="ADV118">
        <v>12962.91</v>
      </c>
      <c r="AFV118">
        <v>12962.91</v>
      </c>
      <c r="ATZ118">
        <v>12962.91</v>
      </c>
    </row>
    <row r="119" spans="2:1010 1061:1222" x14ac:dyDescent="0.25">
      <c r="B119" s="6">
        <v>172431</v>
      </c>
      <c r="KA119">
        <v>51650.16</v>
      </c>
      <c r="KB119">
        <v>51650.16</v>
      </c>
      <c r="KC119">
        <v>51650.16</v>
      </c>
      <c r="KW119">
        <v>51650.16</v>
      </c>
      <c r="ATZ119">
        <v>51650.16</v>
      </c>
    </row>
    <row r="120" spans="2:1010 1061:1222" x14ac:dyDescent="0.25">
      <c r="B120" s="6">
        <v>187421</v>
      </c>
      <c r="YF120">
        <v>35488.400000000001</v>
      </c>
      <c r="YG120">
        <v>35488.400000000001</v>
      </c>
      <c r="YH120">
        <v>1</v>
      </c>
      <c r="YI120">
        <v>35488.400000000001</v>
      </c>
      <c r="YJ120">
        <v>1</v>
      </c>
      <c r="YK120">
        <v>35488.400000000001</v>
      </c>
      <c r="YL120">
        <v>35488.400000000001</v>
      </c>
      <c r="ZG120">
        <v>35488.400000000001</v>
      </c>
      <c r="ATZ120">
        <v>35488.400000000001</v>
      </c>
    </row>
    <row r="121" spans="2:1010 1061:1222" x14ac:dyDescent="0.25">
      <c r="B121" s="6">
        <v>188283</v>
      </c>
      <c r="AKD121">
        <v>22188.53</v>
      </c>
      <c r="AKE121">
        <v>22188.53</v>
      </c>
      <c r="AKF121">
        <v>22188.53</v>
      </c>
      <c r="ALV121">
        <v>22188.53</v>
      </c>
      <c r="ATZ121">
        <v>22188.53</v>
      </c>
    </row>
    <row r="122" spans="2:1010 1061:1222" x14ac:dyDescent="0.25">
      <c r="B122" s="6">
        <v>214220</v>
      </c>
      <c r="XY122">
        <v>71538.320000000007</v>
      </c>
      <c r="XZ122">
        <v>71538.320000000007</v>
      </c>
      <c r="YA122">
        <v>1</v>
      </c>
      <c r="YB122">
        <v>71538.320000000007</v>
      </c>
      <c r="YC122">
        <v>1</v>
      </c>
      <c r="YD122">
        <v>71538.320000000007</v>
      </c>
      <c r="YE122">
        <v>71538.320000000007</v>
      </c>
      <c r="ZG122">
        <v>71538.320000000007</v>
      </c>
      <c r="ATZ122">
        <v>71538.320000000007</v>
      </c>
    </row>
    <row r="123" spans="2:1010 1061:1222" x14ac:dyDescent="0.25">
      <c r="B123" s="6">
        <v>249915</v>
      </c>
      <c r="AJT123">
        <v>10271.66</v>
      </c>
      <c r="AJU123">
        <v>1</v>
      </c>
      <c r="AJV123">
        <v>10271.66</v>
      </c>
      <c r="AJW123">
        <v>1</v>
      </c>
      <c r="AJX123">
        <v>10271.66</v>
      </c>
      <c r="AJY123">
        <v>10271.66</v>
      </c>
      <c r="AKC123">
        <v>10271.66</v>
      </c>
      <c r="ATZ123">
        <v>10271.66</v>
      </c>
    </row>
    <row r="124" spans="2:1010 1061:1222" x14ac:dyDescent="0.25">
      <c r="B124" s="6">
        <v>259606</v>
      </c>
      <c r="AJC124">
        <v>76370.97</v>
      </c>
      <c r="AJD124">
        <v>76370.97</v>
      </c>
      <c r="AJE124">
        <v>76370.97</v>
      </c>
      <c r="AKC124">
        <v>76370.97</v>
      </c>
      <c r="ATZ124">
        <v>76370.97</v>
      </c>
    </row>
    <row r="125" spans="2:1010 1061:1222" x14ac:dyDescent="0.25">
      <c r="B125" s="6">
        <v>268928</v>
      </c>
      <c r="OE125">
        <v>55239.21</v>
      </c>
      <c r="OF125">
        <v>1</v>
      </c>
      <c r="OG125">
        <v>55239.21</v>
      </c>
      <c r="OH125">
        <v>1</v>
      </c>
      <c r="OI125">
        <v>55239.21</v>
      </c>
      <c r="OJ125">
        <v>55239.21</v>
      </c>
      <c r="PJ125">
        <v>55239.21</v>
      </c>
      <c r="ATZ125">
        <v>55239.21</v>
      </c>
    </row>
    <row r="126" spans="2:1010 1061:1222" x14ac:dyDescent="0.25">
      <c r="B126" s="6">
        <v>272554</v>
      </c>
      <c r="XM126">
        <v>45144.24</v>
      </c>
      <c r="XN126">
        <v>1</v>
      </c>
      <c r="XO126">
        <v>45144.24</v>
      </c>
      <c r="XP126">
        <v>1</v>
      </c>
      <c r="XQ126">
        <v>45144.24</v>
      </c>
      <c r="XR126">
        <v>45144.24</v>
      </c>
      <c r="ZG126">
        <v>45144.24</v>
      </c>
      <c r="ATZ126">
        <v>45144.24</v>
      </c>
    </row>
    <row r="127" spans="2:1010 1061:1222" x14ac:dyDescent="0.25">
      <c r="B127" s="6">
        <v>275243</v>
      </c>
      <c r="ANU127">
        <v>25079.8</v>
      </c>
      <c r="ANV127">
        <v>25079.8</v>
      </c>
      <c r="ANW127">
        <v>25079.8</v>
      </c>
      <c r="APL127">
        <v>25079.8</v>
      </c>
      <c r="ATZ127">
        <v>25079.8</v>
      </c>
    </row>
    <row r="128" spans="2:1010 1061:1222" x14ac:dyDescent="0.25">
      <c r="B128" s="6">
        <v>278878</v>
      </c>
      <c r="AGS128">
        <v>58974.98</v>
      </c>
      <c r="AGT128">
        <v>58974.98</v>
      </c>
      <c r="AGU128">
        <v>58974.98</v>
      </c>
      <c r="AGV128">
        <v>1</v>
      </c>
      <c r="AGW128">
        <v>58974.98</v>
      </c>
      <c r="AGX128">
        <v>1</v>
      </c>
      <c r="AGY128">
        <v>58974.98</v>
      </c>
      <c r="AGZ128">
        <v>58974.98</v>
      </c>
      <c r="AHQ128">
        <v>58974.98</v>
      </c>
      <c r="ATZ128">
        <v>58974.98</v>
      </c>
    </row>
    <row r="129" spans="2:1010 1064:1222" x14ac:dyDescent="0.25">
      <c r="B129" s="6">
        <v>312151</v>
      </c>
      <c r="AIN129">
        <v>5751.15</v>
      </c>
      <c r="AIO129">
        <v>5751.15</v>
      </c>
      <c r="AIP129">
        <v>5751.15</v>
      </c>
      <c r="AIQ129">
        <v>1</v>
      </c>
      <c r="AIR129">
        <v>5751.15</v>
      </c>
      <c r="AIS129">
        <v>1</v>
      </c>
      <c r="AIT129">
        <v>5751.15</v>
      </c>
      <c r="AIU129">
        <v>5751.15</v>
      </c>
      <c r="AIV129">
        <v>5751.15</v>
      </c>
      <c r="ATZ129">
        <v>5751.15</v>
      </c>
    </row>
    <row r="130" spans="2:1010 1064:1222" x14ac:dyDescent="0.25">
      <c r="B130" s="6">
        <v>324463</v>
      </c>
      <c r="SY130">
        <v>67620.27</v>
      </c>
      <c r="SZ130">
        <v>1</v>
      </c>
      <c r="TA130">
        <v>67620.27</v>
      </c>
      <c r="TB130">
        <v>1</v>
      </c>
      <c r="TC130">
        <v>67620.27</v>
      </c>
      <c r="TD130">
        <v>67620.27</v>
      </c>
      <c r="TE130">
        <v>67620.27</v>
      </c>
      <c r="ATZ130">
        <v>67620.27</v>
      </c>
    </row>
    <row r="131" spans="2:1010 1064:1222" x14ac:dyDescent="0.25">
      <c r="B131" s="6">
        <v>335344</v>
      </c>
      <c r="FH131">
        <v>18650.169999999998</v>
      </c>
      <c r="FI131">
        <v>18650.169999999998</v>
      </c>
      <c r="FJ131">
        <v>18650.169999999998</v>
      </c>
      <c r="FX131">
        <v>18650.169999999998</v>
      </c>
      <c r="ATZ131">
        <v>18650.169999999998</v>
      </c>
    </row>
    <row r="132" spans="2:1010 1064:1222" x14ac:dyDescent="0.25">
      <c r="B132" s="6">
        <v>345166</v>
      </c>
      <c r="LZ132">
        <v>79167.850000000006</v>
      </c>
      <c r="MA132">
        <v>79167.850000000006</v>
      </c>
      <c r="MB132">
        <v>79167.850000000006</v>
      </c>
      <c r="MZ132">
        <v>79167.850000000006</v>
      </c>
      <c r="ATZ132">
        <v>79167.850000000006</v>
      </c>
    </row>
    <row r="133" spans="2:1010 1064:1222" x14ac:dyDescent="0.25">
      <c r="B133" s="6">
        <v>345177</v>
      </c>
      <c r="ZU133">
        <v>16107.59</v>
      </c>
      <c r="ZV133">
        <v>16107.59</v>
      </c>
      <c r="ZW133">
        <v>16107.59</v>
      </c>
      <c r="ZX133">
        <v>1</v>
      </c>
      <c r="ZY133">
        <v>16107.59</v>
      </c>
      <c r="ZZ133">
        <v>1</v>
      </c>
      <c r="AAA133">
        <v>16107.59</v>
      </c>
      <c r="AAB133">
        <v>16107.59</v>
      </c>
      <c r="ABR133">
        <v>16107.59</v>
      </c>
      <c r="ATZ133">
        <v>16107.59</v>
      </c>
    </row>
    <row r="134" spans="2:1010 1064:1222" x14ac:dyDescent="0.25">
      <c r="B134" s="6">
        <v>346265</v>
      </c>
      <c r="ADA134">
        <v>71213.23</v>
      </c>
      <c r="ADB134">
        <v>71213.23</v>
      </c>
      <c r="ADC134">
        <v>71213.23</v>
      </c>
      <c r="ADD134">
        <v>1</v>
      </c>
      <c r="ADE134">
        <v>71213.23</v>
      </c>
      <c r="ADF134">
        <v>1</v>
      </c>
      <c r="ADG134">
        <v>71213.23</v>
      </c>
      <c r="ADH134">
        <v>71213.23</v>
      </c>
      <c r="ADI134">
        <v>71213.23</v>
      </c>
      <c r="ATZ134">
        <v>71213.23</v>
      </c>
    </row>
    <row r="135" spans="2:1010 1064:1222" x14ac:dyDescent="0.25">
      <c r="B135" s="6">
        <v>367861</v>
      </c>
      <c r="ASG135">
        <v>61368.98</v>
      </c>
      <c r="ASH135">
        <v>1</v>
      </c>
      <c r="ASI135">
        <v>61368.98</v>
      </c>
      <c r="ASJ135">
        <v>1</v>
      </c>
      <c r="ASK135">
        <v>61368.98</v>
      </c>
      <c r="ASL135">
        <v>61368.98</v>
      </c>
      <c r="ATH135">
        <v>61368.98</v>
      </c>
      <c r="ATZ135">
        <v>61368.98</v>
      </c>
    </row>
    <row r="136" spans="2:1010 1064:1222" x14ac:dyDescent="0.25">
      <c r="B136" s="6">
        <v>368945</v>
      </c>
      <c r="AJ136">
        <v>40847.769999999997</v>
      </c>
      <c r="AK136">
        <v>40847.769999999997</v>
      </c>
      <c r="AL136">
        <v>1</v>
      </c>
      <c r="AM136">
        <v>40847.769999999997</v>
      </c>
      <c r="AN136">
        <v>1</v>
      </c>
      <c r="AO136">
        <v>40847.769999999997</v>
      </c>
      <c r="AP136">
        <v>40847.769999999997</v>
      </c>
      <c r="CD136">
        <v>40847.769999999997</v>
      </c>
      <c r="ATZ136">
        <v>40847.769999999997</v>
      </c>
    </row>
    <row r="137" spans="2:1010 1064:1222" x14ac:dyDescent="0.25">
      <c r="B137" s="6">
        <v>373224</v>
      </c>
      <c r="CM137">
        <v>42901.51</v>
      </c>
      <c r="CN137">
        <v>1</v>
      </c>
      <c r="CO137">
        <v>42901.51</v>
      </c>
      <c r="CP137">
        <v>1</v>
      </c>
      <c r="CQ137">
        <v>42901.51</v>
      </c>
      <c r="CR137">
        <v>42901.51</v>
      </c>
      <c r="DU137">
        <v>42901.51</v>
      </c>
      <c r="ATZ137">
        <v>42901.51</v>
      </c>
    </row>
    <row r="138" spans="2:1010 1064:1222" x14ac:dyDescent="0.25">
      <c r="B138" s="6">
        <v>397632</v>
      </c>
      <c r="AKT138">
        <v>78772.259999999995</v>
      </c>
      <c r="AKU138">
        <v>1</v>
      </c>
      <c r="AKV138">
        <v>78772.259999999995</v>
      </c>
      <c r="AKW138">
        <v>1</v>
      </c>
      <c r="AKX138">
        <v>78772.259999999995</v>
      </c>
      <c r="AKY138">
        <v>78772.259999999995</v>
      </c>
      <c r="ALV138">
        <v>78772.259999999995</v>
      </c>
      <c r="ATZ138">
        <v>78772.259999999995</v>
      </c>
    </row>
    <row r="139" spans="2:1010 1064:1222" x14ac:dyDescent="0.25">
      <c r="B139" s="6">
        <v>421323</v>
      </c>
      <c r="AOD139">
        <v>6333.53</v>
      </c>
      <c r="AOE139">
        <v>6333.53</v>
      </c>
      <c r="AOF139">
        <v>1</v>
      </c>
      <c r="AOG139">
        <v>6333.53</v>
      </c>
      <c r="AOH139">
        <v>1</v>
      </c>
      <c r="AOI139">
        <v>6333.53</v>
      </c>
      <c r="AOJ139">
        <v>6333.53</v>
      </c>
      <c r="APL139">
        <v>6333.53</v>
      </c>
      <c r="ATZ139">
        <v>6333.53</v>
      </c>
    </row>
    <row r="140" spans="2:1010 1064:1222" x14ac:dyDescent="0.25">
      <c r="B140" s="6">
        <v>442405</v>
      </c>
      <c r="AKN140">
        <v>978.01</v>
      </c>
      <c r="AKO140">
        <v>1</v>
      </c>
      <c r="AKP140">
        <v>978.01</v>
      </c>
      <c r="AKQ140">
        <v>1</v>
      </c>
      <c r="AKR140">
        <v>978.01</v>
      </c>
      <c r="AKS140">
        <v>978.01</v>
      </c>
      <c r="ALV140">
        <v>978.01</v>
      </c>
      <c r="ATZ140">
        <v>978.01</v>
      </c>
    </row>
    <row r="141" spans="2:1010 1064:1222" x14ac:dyDescent="0.25">
      <c r="B141" s="6">
        <v>456222</v>
      </c>
      <c r="GT141">
        <v>88525.6</v>
      </c>
      <c r="GU141">
        <v>88525.6</v>
      </c>
      <c r="GV141">
        <v>88525.6</v>
      </c>
      <c r="GW141">
        <v>88525.6</v>
      </c>
      <c r="ATZ141">
        <v>88525.6</v>
      </c>
    </row>
    <row r="142" spans="2:1010 1064:1222" x14ac:dyDescent="0.25">
      <c r="B142" s="6">
        <v>462506</v>
      </c>
      <c r="FY142">
        <v>336.68</v>
      </c>
      <c r="FZ142">
        <v>336.68</v>
      </c>
      <c r="GA142">
        <v>336.68</v>
      </c>
      <c r="GB142">
        <v>1</v>
      </c>
      <c r="GC142">
        <v>336.68</v>
      </c>
      <c r="GD142">
        <v>1</v>
      </c>
      <c r="GE142">
        <v>336.68</v>
      </c>
      <c r="GF142">
        <v>336.68</v>
      </c>
      <c r="GM142">
        <v>336.68</v>
      </c>
      <c r="ATZ142">
        <v>336.68</v>
      </c>
    </row>
    <row r="143" spans="2:1010 1064:1222" x14ac:dyDescent="0.25">
      <c r="B143" s="6">
        <v>491326</v>
      </c>
      <c r="ANX143">
        <v>79331.37</v>
      </c>
      <c r="ANY143">
        <v>1</v>
      </c>
      <c r="ANZ143">
        <v>79331.37</v>
      </c>
      <c r="AOA143">
        <v>1</v>
      </c>
      <c r="AOB143">
        <v>79331.37</v>
      </c>
      <c r="AOC143">
        <v>79331.37</v>
      </c>
      <c r="APL143">
        <v>79331.37</v>
      </c>
      <c r="ATZ143">
        <v>79331.37</v>
      </c>
    </row>
    <row r="144" spans="2:1010 1064:1222" x14ac:dyDescent="0.25">
      <c r="B144" s="6">
        <v>511182</v>
      </c>
      <c r="GX144">
        <v>62052.89</v>
      </c>
      <c r="GY144">
        <v>1</v>
      </c>
      <c r="GZ144">
        <v>62052.89</v>
      </c>
      <c r="HA144">
        <v>1</v>
      </c>
      <c r="HB144">
        <v>62052.89</v>
      </c>
      <c r="HC144">
        <v>62052.89</v>
      </c>
      <c r="HM144">
        <v>62052.89</v>
      </c>
      <c r="ATZ144">
        <v>62052.89</v>
      </c>
    </row>
    <row r="145" spans="2:965 1054:1222" x14ac:dyDescent="0.25">
      <c r="B145" s="6">
        <v>514485</v>
      </c>
      <c r="UA145">
        <v>62371.5</v>
      </c>
      <c r="UB145">
        <v>62371.5</v>
      </c>
      <c r="UC145">
        <v>62371.5</v>
      </c>
      <c r="UD145">
        <v>1</v>
      </c>
      <c r="UE145">
        <v>62371.5</v>
      </c>
      <c r="UF145">
        <v>1</v>
      </c>
      <c r="UG145">
        <v>62371.5</v>
      </c>
      <c r="UH145">
        <v>62371.5</v>
      </c>
      <c r="UI145">
        <v>62371.5</v>
      </c>
      <c r="ATZ145">
        <v>62371.5</v>
      </c>
    </row>
    <row r="146" spans="2:965 1054:1222" x14ac:dyDescent="0.25">
      <c r="B146" s="6">
        <v>572621</v>
      </c>
      <c r="ASM146">
        <v>30923.360000000001</v>
      </c>
      <c r="ASN146">
        <v>30923.360000000001</v>
      </c>
      <c r="ASO146">
        <v>1</v>
      </c>
      <c r="ASP146">
        <v>30923.360000000001</v>
      </c>
      <c r="ASQ146">
        <v>1</v>
      </c>
      <c r="ASR146">
        <v>30923.360000000001</v>
      </c>
      <c r="ASS146">
        <v>30923.360000000001</v>
      </c>
      <c r="ATH146">
        <v>30923.360000000001</v>
      </c>
      <c r="ATZ146">
        <v>30923.360000000001</v>
      </c>
    </row>
    <row r="147" spans="2:965 1054:1222" x14ac:dyDescent="0.25">
      <c r="B147" s="6">
        <v>592777</v>
      </c>
      <c r="JM147">
        <v>13523.13</v>
      </c>
      <c r="JN147">
        <v>13523.13</v>
      </c>
      <c r="JO147">
        <v>1</v>
      </c>
      <c r="JP147">
        <v>13523.13</v>
      </c>
      <c r="JQ147">
        <v>1</v>
      </c>
      <c r="JR147">
        <v>13523.13</v>
      </c>
      <c r="JS147">
        <v>13523.13</v>
      </c>
      <c r="KW147">
        <v>13523.13</v>
      </c>
      <c r="ATZ147">
        <v>13523.13</v>
      </c>
    </row>
    <row r="148" spans="2:965 1054:1222" x14ac:dyDescent="0.25">
      <c r="B148" s="6">
        <v>618376</v>
      </c>
      <c r="AJM148">
        <v>24892.78</v>
      </c>
      <c r="AJN148">
        <v>24892.78</v>
      </c>
      <c r="AJO148">
        <v>1</v>
      </c>
      <c r="AJP148">
        <v>24892.78</v>
      </c>
      <c r="AJQ148">
        <v>1</v>
      </c>
      <c r="AJR148">
        <v>24892.78</v>
      </c>
      <c r="AJS148">
        <v>24892.78</v>
      </c>
      <c r="AKC148">
        <v>24892.78</v>
      </c>
      <c r="ATZ148">
        <v>24892.78</v>
      </c>
    </row>
    <row r="149" spans="2:965 1054:1222" x14ac:dyDescent="0.25">
      <c r="B149" s="6">
        <v>657562</v>
      </c>
      <c r="AOQ149">
        <v>35618.050000000003</v>
      </c>
      <c r="AOR149">
        <v>35618.050000000003</v>
      </c>
      <c r="AOS149">
        <v>1</v>
      </c>
      <c r="AOT149">
        <v>35618.050000000003</v>
      </c>
      <c r="AOU149">
        <v>1</v>
      </c>
      <c r="AOV149">
        <v>35618.050000000003</v>
      </c>
      <c r="AOW149">
        <v>35618.050000000003</v>
      </c>
      <c r="APL149">
        <v>35618.050000000003</v>
      </c>
      <c r="ATZ149">
        <v>35618.050000000003</v>
      </c>
    </row>
    <row r="150" spans="2:965 1054:1222" x14ac:dyDescent="0.25">
      <c r="B150" s="6">
        <v>674851</v>
      </c>
      <c r="ET150">
        <v>49293.96</v>
      </c>
      <c r="EU150">
        <v>49293.96</v>
      </c>
      <c r="EV150">
        <v>49293.96</v>
      </c>
      <c r="EW150">
        <v>1</v>
      </c>
      <c r="EX150">
        <v>49293.96</v>
      </c>
      <c r="EY150">
        <v>1</v>
      </c>
      <c r="EZ150">
        <v>49293.96</v>
      </c>
      <c r="FA150">
        <v>49293.96</v>
      </c>
      <c r="FX150">
        <v>49293.96</v>
      </c>
      <c r="ATZ150">
        <v>49293.96</v>
      </c>
    </row>
    <row r="151" spans="2:965 1054:1222" x14ac:dyDescent="0.25">
      <c r="B151" s="6">
        <v>681748</v>
      </c>
      <c r="AAQ151">
        <v>65095.51</v>
      </c>
      <c r="AAR151">
        <v>1</v>
      </c>
      <c r="AAS151">
        <v>65095.51</v>
      </c>
      <c r="AAT151">
        <v>1</v>
      </c>
      <c r="AAU151">
        <v>65095.51</v>
      </c>
      <c r="AAV151">
        <v>65095.51</v>
      </c>
      <c r="ABR151">
        <v>65095.51</v>
      </c>
      <c r="ATZ151">
        <v>65095.51</v>
      </c>
    </row>
    <row r="152" spans="2:965 1054:1222" x14ac:dyDescent="0.25">
      <c r="B152" s="6">
        <v>694943</v>
      </c>
      <c r="KK152">
        <v>23005.3</v>
      </c>
      <c r="KL152">
        <v>1</v>
      </c>
      <c r="KM152">
        <v>23005.3</v>
      </c>
      <c r="KN152">
        <v>1</v>
      </c>
      <c r="KO152">
        <v>23005.3</v>
      </c>
      <c r="KP152">
        <v>23005.3</v>
      </c>
      <c r="KW152">
        <v>23005.3</v>
      </c>
      <c r="ATZ152">
        <v>23005.3</v>
      </c>
    </row>
    <row r="153" spans="2:965 1054:1222" x14ac:dyDescent="0.25">
      <c r="B153" s="6">
        <v>757528</v>
      </c>
      <c r="AGJ153">
        <v>3619.93</v>
      </c>
      <c r="AGK153">
        <v>3619.93</v>
      </c>
      <c r="AGL153">
        <v>3619.93</v>
      </c>
      <c r="AHQ153">
        <v>3619.93</v>
      </c>
      <c r="ATZ153">
        <v>3619.93</v>
      </c>
    </row>
    <row r="154" spans="2:965 1054:1222" x14ac:dyDescent="0.25">
      <c r="B154" s="6">
        <v>778848</v>
      </c>
      <c r="AEL154">
        <v>46271.88</v>
      </c>
      <c r="AEM154">
        <v>46271.88</v>
      </c>
      <c r="AEN154">
        <v>46271.88</v>
      </c>
      <c r="AEO154">
        <v>1</v>
      </c>
      <c r="AEP154">
        <v>46271.88</v>
      </c>
      <c r="AEQ154">
        <v>1</v>
      </c>
      <c r="AER154">
        <v>46271.88</v>
      </c>
      <c r="AES154">
        <v>46271.88</v>
      </c>
      <c r="AFV154">
        <v>46271.88</v>
      </c>
      <c r="ATZ154">
        <v>46271.88</v>
      </c>
    </row>
    <row r="155" spans="2:965 1054:1222" x14ac:dyDescent="0.25">
      <c r="B155" s="6">
        <v>787364</v>
      </c>
      <c r="QV155">
        <v>50739.62</v>
      </c>
      <c r="QW155">
        <v>50739.62</v>
      </c>
      <c r="QX155">
        <v>1</v>
      </c>
      <c r="QY155">
        <v>50739.62</v>
      </c>
      <c r="QZ155">
        <v>1</v>
      </c>
      <c r="RA155">
        <v>50739.62</v>
      </c>
      <c r="RB155">
        <v>50739.62</v>
      </c>
      <c r="RC155">
        <v>50739.62</v>
      </c>
      <c r="ATZ155">
        <v>50739.62</v>
      </c>
    </row>
    <row r="156" spans="2:965 1054:1222" x14ac:dyDescent="0.25">
      <c r="B156" s="6">
        <v>842155</v>
      </c>
      <c r="JT156">
        <v>56397.440000000002</v>
      </c>
      <c r="JU156">
        <v>56397.440000000002</v>
      </c>
      <c r="JV156">
        <v>1</v>
      </c>
      <c r="JW156">
        <v>56397.440000000002</v>
      </c>
      <c r="JX156">
        <v>1</v>
      </c>
      <c r="JY156">
        <v>56397.440000000002</v>
      </c>
      <c r="JZ156">
        <v>56397.440000000002</v>
      </c>
      <c r="KW156">
        <v>56397.440000000002</v>
      </c>
      <c r="ATZ156">
        <v>56397.440000000002</v>
      </c>
    </row>
    <row r="157" spans="2:965 1054:1222" x14ac:dyDescent="0.25">
      <c r="B157" s="6">
        <v>857782</v>
      </c>
      <c r="AJZ157">
        <v>45015.519999999997</v>
      </c>
      <c r="AKA157">
        <v>45015.519999999997</v>
      </c>
      <c r="AKB157">
        <v>45015.519999999997</v>
      </c>
      <c r="AKC157">
        <v>45015.519999999997</v>
      </c>
      <c r="ATZ157">
        <v>45015.519999999997</v>
      </c>
    </row>
    <row r="158" spans="2:965 1054:1222" x14ac:dyDescent="0.25">
      <c r="B158" s="6">
        <v>857886</v>
      </c>
      <c r="IL158">
        <v>22856.21</v>
      </c>
      <c r="IM158">
        <v>1</v>
      </c>
      <c r="IN158">
        <v>22856.21</v>
      </c>
      <c r="IO158">
        <v>1</v>
      </c>
      <c r="IP158">
        <v>22856.21</v>
      </c>
      <c r="IQ158">
        <v>22856.21</v>
      </c>
      <c r="JL158">
        <v>22856.21</v>
      </c>
      <c r="ATZ158">
        <v>22856.21</v>
      </c>
    </row>
    <row r="159" spans="2:965 1054:1222" x14ac:dyDescent="0.25">
      <c r="B159" s="6">
        <v>864294</v>
      </c>
      <c r="ANN159">
        <v>718.49</v>
      </c>
      <c r="ANO159">
        <v>718.49</v>
      </c>
      <c r="ANP159">
        <v>1</v>
      </c>
      <c r="ANQ159">
        <v>718.49</v>
      </c>
      <c r="ANR159">
        <v>1</v>
      </c>
      <c r="ANS159">
        <v>718.49</v>
      </c>
      <c r="ANT159">
        <v>718.49</v>
      </c>
      <c r="APL159">
        <v>718.49</v>
      </c>
      <c r="ATZ159">
        <v>718.49</v>
      </c>
    </row>
    <row r="160" spans="2:965 1054:1222" x14ac:dyDescent="0.25">
      <c r="B160" s="6">
        <v>918774</v>
      </c>
      <c r="ARA160">
        <v>768.33</v>
      </c>
      <c r="ARB160">
        <v>768.33</v>
      </c>
      <c r="ARC160">
        <v>768.33</v>
      </c>
      <c r="ARD160">
        <v>1</v>
      </c>
      <c r="ARE160">
        <v>768.33</v>
      </c>
      <c r="ARF160">
        <v>1</v>
      </c>
      <c r="ARG160">
        <v>768.33</v>
      </c>
      <c r="ARH160">
        <v>768.33</v>
      </c>
      <c r="ARU160">
        <v>768.33</v>
      </c>
      <c r="ATZ160">
        <v>768.33</v>
      </c>
    </row>
    <row r="161" spans="2:1010 1117:1222" x14ac:dyDescent="0.25">
      <c r="B161" s="6">
        <v>951658</v>
      </c>
      <c r="APY161">
        <v>66029.7</v>
      </c>
      <c r="APZ161">
        <v>1</v>
      </c>
      <c r="AQA161">
        <v>66029.7</v>
      </c>
      <c r="AQB161">
        <v>1</v>
      </c>
      <c r="AQC161">
        <v>66029.7</v>
      </c>
      <c r="AQD161">
        <v>66029.7</v>
      </c>
      <c r="AQE161">
        <v>66029.7</v>
      </c>
      <c r="ATZ161">
        <v>66029.7</v>
      </c>
    </row>
    <row r="162" spans="2:1010 1117:1222" x14ac:dyDescent="0.25">
      <c r="B162" s="6">
        <v>955922</v>
      </c>
      <c r="GN162">
        <v>86247.96</v>
      </c>
      <c r="GO162">
        <v>1</v>
      </c>
      <c r="GP162">
        <v>86247.96</v>
      </c>
      <c r="GQ162">
        <v>1</v>
      </c>
      <c r="GR162">
        <v>86247.96</v>
      </c>
      <c r="GS162">
        <v>86247.96</v>
      </c>
      <c r="GW162">
        <v>86247.96</v>
      </c>
      <c r="ATZ162">
        <v>86247.96</v>
      </c>
    </row>
    <row r="163" spans="2:1010 1117:1222" x14ac:dyDescent="0.25">
      <c r="B163" s="6">
        <v>968635</v>
      </c>
      <c r="ALM163">
        <v>37103.4</v>
      </c>
      <c r="ALN163">
        <v>1</v>
      </c>
      <c r="ALO163">
        <v>37103.4</v>
      </c>
      <c r="ALP163">
        <v>1</v>
      </c>
      <c r="ALQ163">
        <v>37103.4</v>
      </c>
      <c r="ALR163">
        <v>37103.4</v>
      </c>
      <c r="ALV163">
        <v>37103.4</v>
      </c>
      <c r="ATZ163">
        <v>37103.4</v>
      </c>
    </row>
    <row r="164" spans="2:1010 1117:1222" x14ac:dyDescent="0.25">
      <c r="B164" s="6">
        <v>981648</v>
      </c>
      <c r="GG164">
        <v>77271.08</v>
      </c>
      <c r="GH164">
        <v>1</v>
      </c>
      <c r="GI164">
        <v>77271.08</v>
      </c>
      <c r="GJ164">
        <v>1</v>
      </c>
      <c r="GK164">
        <v>77271.08</v>
      </c>
      <c r="GL164">
        <v>77271.08</v>
      </c>
      <c r="GM164">
        <v>77271.08</v>
      </c>
      <c r="ATZ164">
        <v>77271.08</v>
      </c>
    </row>
    <row r="165" spans="2:1010 1117:1222" x14ac:dyDescent="0.25">
      <c r="B165" s="6">
        <v>995818</v>
      </c>
      <c r="AGC165">
        <v>56117.91</v>
      </c>
      <c r="AGD165">
        <v>56117.91</v>
      </c>
      <c r="AGE165">
        <v>1</v>
      </c>
      <c r="AGF165">
        <v>56117.91</v>
      </c>
      <c r="AGG165">
        <v>1</v>
      </c>
      <c r="AGH165">
        <v>56117.91</v>
      </c>
      <c r="AGI165">
        <v>56117.91</v>
      </c>
      <c r="AHQ165">
        <v>56117.91</v>
      </c>
      <c r="ATZ165">
        <v>56117.91</v>
      </c>
    </row>
    <row r="166" spans="2:1010 1117:1222" x14ac:dyDescent="0.25">
      <c r="B166" s="6" t="s">
        <v>364</v>
      </c>
      <c r="ATS166">
        <v>33525.82</v>
      </c>
      <c r="ATT166">
        <v>33525.82</v>
      </c>
      <c r="ATU166">
        <v>33525.82</v>
      </c>
      <c r="ATY166">
        <v>33525.82</v>
      </c>
      <c r="ATZ166">
        <v>33525.82</v>
      </c>
    </row>
    <row r="167" spans="2:1010 1117:1222" x14ac:dyDescent="0.25">
      <c r="B167" s="6" t="s">
        <v>420</v>
      </c>
      <c r="NQ167">
        <v>33296.620000000003</v>
      </c>
      <c r="NR167">
        <v>1</v>
      </c>
      <c r="NS167">
        <v>33296.620000000003</v>
      </c>
      <c r="NT167">
        <v>1</v>
      </c>
      <c r="NU167">
        <v>33296.620000000003</v>
      </c>
      <c r="NV167">
        <v>33296.620000000003</v>
      </c>
      <c r="OD167">
        <v>33296.620000000003</v>
      </c>
      <c r="ATZ167">
        <v>33296.620000000003</v>
      </c>
    </row>
    <row r="168" spans="2:1010 1117:1222" x14ac:dyDescent="0.25">
      <c r="B168" s="6" t="s">
        <v>397</v>
      </c>
      <c r="AFA168">
        <v>66175.759999999995</v>
      </c>
      <c r="AFB168">
        <v>66175.759999999995</v>
      </c>
      <c r="AFC168">
        <v>66175.759999999995</v>
      </c>
      <c r="AFD168">
        <v>1</v>
      </c>
      <c r="AFE168">
        <v>66175.759999999995</v>
      </c>
      <c r="AFF168">
        <v>1</v>
      </c>
      <c r="AFG168">
        <v>66175.759999999995</v>
      </c>
      <c r="AFH168">
        <v>66175.759999999995</v>
      </c>
      <c r="AFV168">
        <v>66175.759999999995</v>
      </c>
      <c r="ATZ168">
        <v>66175.759999999995</v>
      </c>
    </row>
    <row r="169" spans="2:1010 1117:1222" x14ac:dyDescent="0.25">
      <c r="B169" s="6" t="s">
        <v>668</v>
      </c>
      <c r="HD169">
        <v>82180.23</v>
      </c>
      <c r="HE169">
        <v>1</v>
      </c>
      <c r="HF169">
        <v>82180.23</v>
      </c>
      <c r="HG169">
        <v>1</v>
      </c>
      <c r="HH169">
        <v>82180.23</v>
      </c>
      <c r="HI169">
        <v>82180.23</v>
      </c>
      <c r="HM169">
        <v>82180.23</v>
      </c>
      <c r="ATZ169">
        <v>82180.23</v>
      </c>
    </row>
    <row r="170" spans="2:1010 1117:1222" x14ac:dyDescent="0.25">
      <c r="B170" s="6" t="s">
        <v>114</v>
      </c>
      <c r="TJ170">
        <v>54406.29</v>
      </c>
      <c r="TK170">
        <v>1</v>
      </c>
      <c r="TL170">
        <v>54406.29</v>
      </c>
      <c r="TM170">
        <v>1</v>
      </c>
      <c r="TN170">
        <v>54406.29</v>
      </c>
      <c r="TO170">
        <v>54406.29</v>
      </c>
      <c r="UI170">
        <v>54406.29</v>
      </c>
      <c r="ATZ170">
        <v>54406.29</v>
      </c>
    </row>
    <row r="171" spans="2:1010 1117:1222" x14ac:dyDescent="0.25">
      <c r="B171" s="6" t="s">
        <v>149</v>
      </c>
      <c r="ABZ171">
        <v>88193.17</v>
      </c>
      <c r="ACA171">
        <v>1</v>
      </c>
      <c r="ACB171">
        <v>88193.17</v>
      </c>
      <c r="ACC171">
        <v>1</v>
      </c>
      <c r="ACD171">
        <v>88193.17</v>
      </c>
      <c r="ACE171">
        <v>88193.17</v>
      </c>
      <c r="ADI171">
        <v>88193.17</v>
      </c>
      <c r="ATZ171">
        <v>88193.17</v>
      </c>
    </row>
    <row r="172" spans="2:1010 1117:1222" x14ac:dyDescent="0.25">
      <c r="B172" s="6" t="s">
        <v>264</v>
      </c>
      <c r="IX172">
        <v>78907.14</v>
      </c>
      <c r="IY172">
        <v>78907.14</v>
      </c>
      <c r="IZ172">
        <v>78907.14</v>
      </c>
      <c r="JA172">
        <v>1</v>
      </c>
      <c r="JB172">
        <v>78907.14</v>
      </c>
      <c r="JC172">
        <v>1</v>
      </c>
      <c r="JD172">
        <v>78907.14</v>
      </c>
      <c r="JE172">
        <v>78907.14</v>
      </c>
      <c r="JL172">
        <v>78907.14</v>
      </c>
      <c r="ATZ172">
        <v>78907.14</v>
      </c>
    </row>
    <row r="173" spans="2:1010 1117:1222" x14ac:dyDescent="0.25">
      <c r="B173" s="6" t="s">
        <v>303</v>
      </c>
      <c r="IH173">
        <v>571.11</v>
      </c>
      <c r="II173">
        <v>571.11</v>
      </c>
      <c r="IJ173">
        <v>571.11</v>
      </c>
      <c r="IK173">
        <v>571.11</v>
      </c>
      <c r="ATZ173">
        <v>571.11</v>
      </c>
    </row>
    <row r="174" spans="2:1010 1117:1222" x14ac:dyDescent="0.25">
      <c r="B174" s="6" t="s">
        <v>259</v>
      </c>
      <c r="NA174">
        <v>13864.85</v>
      </c>
      <c r="NB174">
        <v>13864.85</v>
      </c>
      <c r="NC174">
        <v>1</v>
      </c>
      <c r="ND174">
        <v>13864.85</v>
      </c>
      <c r="NE174">
        <v>1</v>
      </c>
      <c r="NF174">
        <v>13864.85</v>
      </c>
      <c r="NG174">
        <v>13864.85</v>
      </c>
      <c r="OD174">
        <v>13864.85</v>
      </c>
      <c r="ATZ174">
        <v>13864.85</v>
      </c>
    </row>
    <row r="175" spans="2:1010 1117:1222" x14ac:dyDescent="0.25">
      <c r="B175" s="6" t="s">
        <v>277</v>
      </c>
      <c r="ACX175">
        <v>36841.01</v>
      </c>
      <c r="ACY175">
        <v>36841.01</v>
      </c>
      <c r="ACZ175">
        <v>36841.01</v>
      </c>
      <c r="ADI175">
        <v>36841.01</v>
      </c>
      <c r="ATZ175">
        <v>36841.01</v>
      </c>
    </row>
    <row r="176" spans="2:1010 1117:1222" x14ac:dyDescent="0.25">
      <c r="B176" s="6" t="s">
        <v>763</v>
      </c>
      <c r="PS176">
        <v>7813.36</v>
      </c>
      <c r="PT176">
        <v>7813.36</v>
      </c>
      <c r="PU176">
        <v>7813.36</v>
      </c>
      <c r="RC176">
        <v>7813.36</v>
      </c>
      <c r="ATZ176">
        <v>7813.36</v>
      </c>
    </row>
    <row r="177" spans="2:1222" x14ac:dyDescent="0.25">
      <c r="B177" s="6" t="s">
        <v>725</v>
      </c>
      <c r="HN177">
        <v>33631.040000000001</v>
      </c>
      <c r="HO177">
        <v>33631.040000000001</v>
      </c>
      <c r="HP177">
        <v>1</v>
      </c>
      <c r="HQ177">
        <v>33631.040000000001</v>
      </c>
      <c r="HR177">
        <v>1</v>
      </c>
      <c r="HS177">
        <v>33631.040000000001</v>
      </c>
      <c r="HT177">
        <v>33631.040000000001</v>
      </c>
      <c r="IK177">
        <v>33631.040000000001</v>
      </c>
      <c r="ATZ177">
        <v>33631.040000000001</v>
      </c>
    </row>
    <row r="178" spans="2:1222" x14ac:dyDescent="0.25">
      <c r="B178" s="6" t="s">
        <v>671</v>
      </c>
      <c r="PA178">
        <v>35319.5</v>
      </c>
      <c r="PB178">
        <v>1</v>
      </c>
      <c r="PC178">
        <v>35319.5</v>
      </c>
      <c r="PD178">
        <v>1</v>
      </c>
      <c r="PE178">
        <v>35319.5</v>
      </c>
      <c r="PF178">
        <v>35319.5</v>
      </c>
      <c r="PJ178">
        <v>35319.5</v>
      </c>
      <c r="ATZ178">
        <v>35319.5</v>
      </c>
    </row>
    <row r="179" spans="2:1222" x14ac:dyDescent="0.25">
      <c r="B179" s="6" t="s">
        <v>347</v>
      </c>
      <c r="ACU179">
        <v>66441.679999999993</v>
      </c>
      <c r="ACV179">
        <v>66441.679999999993</v>
      </c>
      <c r="ACW179">
        <v>66441.679999999993</v>
      </c>
      <c r="ADI179">
        <v>66441.679999999993</v>
      </c>
      <c r="ATZ179">
        <v>66441.679999999993</v>
      </c>
    </row>
    <row r="180" spans="2:1222" x14ac:dyDescent="0.25">
      <c r="B180" s="6" t="s">
        <v>470</v>
      </c>
      <c r="ARL180">
        <v>49573.54</v>
      </c>
      <c r="ARM180">
        <v>49573.54</v>
      </c>
      <c r="ARN180">
        <v>49573.54</v>
      </c>
      <c r="ARU180">
        <v>49573.54</v>
      </c>
      <c r="ATZ180">
        <v>49573.54</v>
      </c>
    </row>
    <row r="181" spans="2:1222" x14ac:dyDescent="0.25">
      <c r="B181" s="6" t="s">
        <v>119</v>
      </c>
      <c r="S181">
        <v>86936.95</v>
      </c>
      <c r="T181">
        <v>86936.95</v>
      </c>
      <c r="U181">
        <v>1</v>
      </c>
      <c r="V181">
        <v>86936.95</v>
      </c>
      <c r="W181">
        <v>1</v>
      </c>
      <c r="X181">
        <v>86936.95</v>
      </c>
      <c r="Y181">
        <v>86936.95</v>
      </c>
      <c r="AI181">
        <v>86936.95</v>
      </c>
      <c r="ATZ181">
        <v>86936.95</v>
      </c>
    </row>
    <row r="182" spans="2:1222" x14ac:dyDescent="0.25">
      <c r="B182" s="6" t="s">
        <v>394</v>
      </c>
      <c r="YT182">
        <v>79446.820000000007</v>
      </c>
      <c r="YU182">
        <v>1</v>
      </c>
      <c r="YV182">
        <v>79446.820000000007</v>
      </c>
      <c r="YW182">
        <v>1</v>
      </c>
      <c r="YX182">
        <v>79446.820000000007</v>
      </c>
      <c r="YY182">
        <v>79446.820000000007</v>
      </c>
      <c r="ZG182">
        <v>79446.820000000007</v>
      </c>
      <c r="ATZ182">
        <v>79446.820000000007</v>
      </c>
    </row>
    <row r="183" spans="2:1222" x14ac:dyDescent="0.25">
      <c r="B183" s="6" t="s">
        <v>603</v>
      </c>
      <c r="AAI183">
        <v>45970.59</v>
      </c>
      <c r="AAJ183">
        <v>45970.59</v>
      </c>
      <c r="AAK183">
        <v>45970.59</v>
      </c>
      <c r="AAL183">
        <v>1</v>
      </c>
      <c r="AAM183">
        <v>45970.59</v>
      </c>
      <c r="AAN183">
        <v>1</v>
      </c>
      <c r="AAO183">
        <v>45970.59</v>
      </c>
      <c r="AAP183">
        <v>45970.59</v>
      </c>
      <c r="ABR183">
        <v>45970.59</v>
      </c>
      <c r="ATZ183">
        <v>45970.59</v>
      </c>
    </row>
    <row r="184" spans="2:1222" x14ac:dyDescent="0.25">
      <c r="B184" s="6" t="s">
        <v>141</v>
      </c>
      <c r="ATI184">
        <v>38717.9</v>
      </c>
      <c r="ATJ184">
        <v>38717.9</v>
      </c>
      <c r="ATK184">
        <v>1</v>
      </c>
      <c r="ATL184">
        <v>38717.9</v>
      </c>
      <c r="ATM184">
        <v>1</v>
      </c>
      <c r="ATN184">
        <v>38717.9</v>
      </c>
      <c r="ATO184">
        <v>38717.9</v>
      </c>
      <c r="ATY184">
        <v>38717.9</v>
      </c>
      <c r="ATZ184">
        <v>38717.9</v>
      </c>
    </row>
    <row r="185" spans="2:1222" x14ac:dyDescent="0.25">
      <c r="B185" s="6" t="s">
        <v>378</v>
      </c>
      <c r="AMG185">
        <v>84391</v>
      </c>
      <c r="AMH185">
        <v>1</v>
      </c>
      <c r="AMI185">
        <v>84391</v>
      </c>
      <c r="AMJ185">
        <v>1</v>
      </c>
      <c r="AMK185">
        <v>84391</v>
      </c>
      <c r="AML185">
        <v>84391</v>
      </c>
      <c r="ANM185">
        <v>84391</v>
      </c>
      <c r="ATZ185">
        <v>84391</v>
      </c>
    </row>
    <row r="186" spans="2:1222" x14ac:dyDescent="0.25">
      <c r="B186" s="6" t="s">
        <v>569</v>
      </c>
      <c r="ABS186">
        <v>62968.51</v>
      </c>
      <c r="ABT186">
        <v>62968.51</v>
      </c>
      <c r="ABU186">
        <v>1</v>
      </c>
      <c r="ABV186">
        <v>62968.51</v>
      </c>
      <c r="ABW186">
        <v>1</v>
      </c>
      <c r="ABX186">
        <v>62968.51</v>
      </c>
      <c r="ABY186">
        <v>62968.51</v>
      </c>
      <c r="ADI186">
        <v>62968.51</v>
      </c>
      <c r="ATZ186">
        <v>62968.51</v>
      </c>
    </row>
    <row r="187" spans="2:1222" x14ac:dyDescent="0.25">
      <c r="B187" s="6" t="s">
        <v>185</v>
      </c>
      <c r="APM187">
        <v>15735.99</v>
      </c>
      <c r="APN187">
        <v>1</v>
      </c>
      <c r="APO187">
        <v>15735.99</v>
      </c>
      <c r="APP187">
        <v>1</v>
      </c>
      <c r="APQ187">
        <v>15735.99</v>
      </c>
      <c r="APR187">
        <v>15735.99</v>
      </c>
      <c r="AQE187">
        <v>15735.99</v>
      </c>
      <c r="ATZ187">
        <v>15735.99</v>
      </c>
    </row>
    <row r="188" spans="2:1222" x14ac:dyDescent="0.25">
      <c r="B188" s="6" t="s">
        <v>409</v>
      </c>
      <c r="IR188">
        <v>26128.86</v>
      </c>
      <c r="IS188">
        <v>1</v>
      </c>
      <c r="IT188">
        <v>26128.86</v>
      </c>
      <c r="IU188">
        <v>1</v>
      </c>
      <c r="IV188">
        <v>26128.86</v>
      </c>
      <c r="IW188">
        <v>26128.86</v>
      </c>
      <c r="JL188">
        <v>26128.86</v>
      </c>
      <c r="ATZ188">
        <v>26128.86</v>
      </c>
    </row>
    <row r="189" spans="2:1222" x14ac:dyDescent="0.25">
      <c r="B189" s="6" t="s">
        <v>292</v>
      </c>
      <c r="WV189">
        <v>6435.32</v>
      </c>
      <c r="WW189">
        <v>6435.32</v>
      </c>
      <c r="WX189">
        <v>6435.32</v>
      </c>
      <c r="WY189">
        <v>6435.32</v>
      </c>
      <c r="ATZ189">
        <v>6435.32</v>
      </c>
    </row>
    <row r="190" spans="2:1222" x14ac:dyDescent="0.25">
      <c r="B190" s="6" t="s">
        <v>588</v>
      </c>
      <c r="ZH190">
        <v>85264.3</v>
      </c>
      <c r="ZI190">
        <v>85264.3</v>
      </c>
      <c r="ZJ190">
        <v>1</v>
      </c>
      <c r="ZK190">
        <v>85264.3</v>
      </c>
      <c r="ZL190">
        <v>1</v>
      </c>
      <c r="ZM190">
        <v>85264.3</v>
      </c>
      <c r="ZN190">
        <v>85264.3</v>
      </c>
      <c r="ABR190">
        <v>85264.3</v>
      </c>
      <c r="ATZ190">
        <v>85264.3</v>
      </c>
    </row>
    <row r="191" spans="2:1222" x14ac:dyDescent="0.25">
      <c r="B191" s="6" t="s">
        <v>781</v>
      </c>
      <c r="AGM191">
        <v>36306.9</v>
      </c>
      <c r="AGN191">
        <v>1</v>
      </c>
      <c r="AGO191">
        <v>36306.9</v>
      </c>
      <c r="AGP191">
        <v>1</v>
      </c>
      <c r="AGQ191">
        <v>36306.9</v>
      </c>
      <c r="AGR191">
        <v>36306.9</v>
      </c>
      <c r="AHQ191">
        <v>36306.9</v>
      </c>
      <c r="ATZ191">
        <v>36306.9</v>
      </c>
    </row>
    <row r="192" spans="2:1222" x14ac:dyDescent="0.25">
      <c r="B192" s="6" t="s">
        <v>532</v>
      </c>
      <c r="LT192">
        <v>1374.12</v>
      </c>
      <c r="LU192">
        <v>1</v>
      </c>
      <c r="LV192">
        <v>1374.12</v>
      </c>
      <c r="LW192">
        <v>1</v>
      </c>
      <c r="LX192">
        <v>1374.12</v>
      </c>
      <c r="LY192">
        <v>1374.12</v>
      </c>
      <c r="MZ192">
        <v>1374.12</v>
      </c>
      <c r="ATZ192">
        <v>1374.12</v>
      </c>
    </row>
    <row r="193" spans="2:1010 1034:1222" x14ac:dyDescent="0.25">
      <c r="B193" s="6" t="s">
        <v>153</v>
      </c>
      <c r="AMT193">
        <v>36714.550000000003</v>
      </c>
      <c r="AMU193">
        <v>36714.550000000003</v>
      </c>
      <c r="AMV193">
        <v>36714.550000000003</v>
      </c>
      <c r="ANM193">
        <v>36714.550000000003</v>
      </c>
      <c r="ATZ193">
        <v>36714.550000000003</v>
      </c>
    </row>
    <row r="194" spans="2:1010 1034:1222" x14ac:dyDescent="0.25">
      <c r="B194" s="6" t="s">
        <v>374</v>
      </c>
      <c r="DF194">
        <v>50879.73</v>
      </c>
      <c r="DG194">
        <v>50879.73</v>
      </c>
      <c r="DH194">
        <v>50879.73</v>
      </c>
      <c r="DI194">
        <v>1</v>
      </c>
      <c r="DJ194">
        <v>50879.73</v>
      </c>
      <c r="DK194">
        <v>1</v>
      </c>
      <c r="DL194">
        <v>50879.73</v>
      </c>
      <c r="DM194">
        <v>50879.73</v>
      </c>
      <c r="DU194">
        <v>50879.73</v>
      </c>
      <c r="ATZ194">
        <v>50879.73</v>
      </c>
    </row>
    <row r="195" spans="2:1010 1034:1222" x14ac:dyDescent="0.25">
      <c r="B195" s="6" t="s">
        <v>628</v>
      </c>
      <c r="OQ195">
        <v>85416.21</v>
      </c>
      <c r="OR195">
        <v>85416.21</v>
      </c>
      <c r="OS195">
        <v>1</v>
      </c>
      <c r="OT195">
        <v>85416.21</v>
      </c>
      <c r="OU195">
        <v>1</v>
      </c>
      <c r="OV195">
        <v>85416.21</v>
      </c>
      <c r="OW195">
        <v>85416.21</v>
      </c>
      <c r="PJ195">
        <v>85416.21</v>
      </c>
      <c r="ATZ195">
        <v>85416.21</v>
      </c>
    </row>
    <row r="196" spans="2:1010 1034:1222" x14ac:dyDescent="0.25">
      <c r="B196" s="6" t="s">
        <v>158</v>
      </c>
      <c r="ATV196">
        <v>86567.11</v>
      </c>
      <c r="ATW196">
        <v>86567.11</v>
      </c>
      <c r="ATX196">
        <v>86567.11</v>
      </c>
      <c r="ATY196">
        <v>86567.11</v>
      </c>
      <c r="ATZ196">
        <v>86567.11</v>
      </c>
    </row>
    <row r="197" spans="2:1010 1034:1222" x14ac:dyDescent="0.25">
      <c r="B197" s="6" t="s">
        <v>322</v>
      </c>
      <c r="ACN197">
        <v>61803.49</v>
      </c>
      <c r="ACO197">
        <v>61803.49</v>
      </c>
      <c r="ACP197">
        <v>1</v>
      </c>
      <c r="ACQ197">
        <v>61803.49</v>
      </c>
      <c r="ACR197">
        <v>1</v>
      </c>
      <c r="ACS197">
        <v>61803.49</v>
      </c>
      <c r="ACT197">
        <v>61803.49</v>
      </c>
      <c r="ADI197">
        <v>61803.49</v>
      </c>
      <c r="ATZ197">
        <v>61803.49</v>
      </c>
    </row>
    <row r="198" spans="2:1010 1034:1222" x14ac:dyDescent="0.25">
      <c r="B198" s="6" t="s">
        <v>176</v>
      </c>
      <c r="AQU198">
        <v>3387.11</v>
      </c>
      <c r="AQV198">
        <v>1</v>
      </c>
      <c r="AQW198">
        <v>3387.11</v>
      </c>
      <c r="AQX198">
        <v>1</v>
      </c>
      <c r="AQY198">
        <v>3387.11</v>
      </c>
      <c r="AQZ198">
        <v>3387.11</v>
      </c>
      <c r="ARU198">
        <v>3387.11</v>
      </c>
      <c r="ATZ198">
        <v>3387.11</v>
      </c>
    </row>
    <row r="199" spans="2:1010 1034:1222" x14ac:dyDescent="0.25">
      <c r="B199" s="6" t="s">
        <v>758</v>
      </c>
      <c r="QP199">
        <v>80641.86</v>
      </c>
      <c r="QQ199">
        <v>1</v>
      </c>
      <c r="QR199">
        <v>80641.86</v>
      </c>
      <c r="QS199">
        <v>1</v>
      </c>
      <c r="QT199">
        <v>80641.86</v>
      </c>
      <c r="QU199">
        <v>80641.86</v>
      </c>
      <c r="RC199">
        <v>80641.86</v>
      </c>
      <c r="ATZ199">
        <v>80641.86</v>
      </c>
    </row>
    <row r="200" spans="2:1010 1034:1222" x14ac:dyDescent="0.25">
      <c r="B200" s="6" t="s">
        <v>247</v>
      </c>
      <c r="C200">
        <v>60911.33</v>
      </c>
      <c r="D200">
        <v>60911.33</v>
      </c>
      <c r="E200">
        <v>60911.33</v>
      </c>
      <c r="F200">
        <v>1</v>
      </c>
      <c r="G200">
        <v>60911.33</v>
      </c>
      <c r="H200">
        <v>1</v>
      </c>
      <c r="I200">
        <v>60911.33</v>
      </c>
      <c r="J200">
        <v>60911.33</v>
      </c>
      <c r="AI200">
        <v>60911.33</v>
      </c>
      <c r="ATZ200">
        <v>60911.33</v>
      </c>
    </row>
    <row r="201" spans="2:1010 1034:1222" x14ac:dyDescent="0.25">
      <c r="B201" s="6" t="s">
        <v>338</v>
      </c>
      <c r="AQF201">
        <v>16459.38</v>
      </c>
      <c r="AQG201">
        <v>16459.38</v>
      </c>
      <c r="AQH201">
        <v>16459.38</v>
      </c>
      <c r="AQI201">
        <v>1</v>
      </c>
      <c r="AQJ201">
        <v>16459.38</v>
      </c>
      <c r="AQK201">
        <v>1</v>
      </c>
      <c r="AQL201">
        <v>16459.38</v>
      </c>
      <c r="AQM201">
        <v>16459.38</v>
      </c>
      <c r="ARU201">
        <v>16459.38</v>
      </c>
      <c r="ATZ201">
        <v>16459.38</v>
      </c>
    </row>
    <row r="202" spans="2:1010 1034:1222" x14ac:dyDescent="0.25">
      <c r="B202" s="6" t="s">
        <v>190</v>
      </c>
      <c r="ARV202">
        <v>35270.660000000003</v>
      </c>
      <c r="ARW202">
        <v>35270.660000000003</v>
      </c>
      <c r="ARX202">
        <v>35270.660000000003</v>
      </c>
      <c r="ATH202">
        <v>35270.660000000003</v>
      </c>
      <c r="ATZ202">
        <v>35270.660000000003</v>
      </c>
    </row>
    <row r="203" spans="2:1010 1034:1222" x14ac:dyDescent="0.25">
      <c r="B203" s="6" t="s">
        <v>369</v>
      </c>
      <c r="AAC203">
        <v>25016.46</v>
      </c>
      <c r="AAD203">
        <v>1</v>
      </c>
      <c r="AAE203">
        <v>25016.46</v>
      </c>
      <c r="AAF203">
        <v>1</v>
      </c>
      <c r="AAG203">
        <v>25016.46</v>
      </c>
      <c r="AAH203">
        <v>25016.46</v>
      </c>
      <c r="ABR203">
        <v>25016.46</v>
      </c>
      <c r="ATZ203">
        <v>25016.46</v>
      </c>
    </row>
    <row r="204" spans="2:1010 1034:1222" x14ac:dyDescent="0.25">
      <c r="B204" s="6" t="s">
        <v>576</v>
      </c>
      <c r="AEF204">
        <v>78764.62</v>
      </c>
      <c r="AEG204">
        <v>1</v>
      </c>
      <c r="AEH204">
        <v>78764.62</v>
      </c>
      <c r="AEI204">
        <v>1</v>
      </c>
      <c r="AEJ204">
        <v>78764.62</v>
      </c>
      <c r="AEK204">
        <v>78764.62</v>
      </c>
      <c r="AFV204">
        <v>78764.62</v>
      </c>
      <c r="ATZ204">
        <v>78764.62</v>
      </c>
    </row>
    <row r="205" spans="2:1010 1034:1222" x14ac:dyDescent="0.25">
      <c r="B205" s="6" t="s">
        <v>474</v>
      </c>
      <c r="AKZ205">
        <v>78228.34</v>
      </c>
      <c r="ALA205">
        <v>78228.34</v>
      </c>
      <c r="ALB205">
        <v>1</v>
      </c>
      <c r="ALC205">
        <v>78228.34</v>
      </c>
      <c r="ALD205">
        <v>1</v>
      </c>
      <c r="ALE205">
        <v>78228.34</v>
      </c>
      <c r="ALF205">
        <v>78228.34</v>
      </c>
      <c r="ALV205">
        <v>78228.34</v>
      </c>
      <c r="ATZ205">
        <v>78228.34</v>
      </c>
    </row>
    <row r="206" spans="2:1010 1034:1222" x14ac:dyDescent="0.25">
      <c r="B206" s="6" t="s">
        <v>634</v>
      </c>
      <c r="AMW206">
        <v>23840.38</v>
      </c>
      <c r="AMX206">
        <v>23840.38</v>
      </c>
      <c r="AMY206">
        <v>23840.38</v>
      </c>
      <c r="ANM206">
        <v>23840.38</v>
      </c>
      <c r="ATZ206">
        <v>23840.38</v>
      </c>
    </row>
    <row r="207" spans="2:1010 1034:1222" x14ac:dyDescent="0.25">
      <c r="B207" s="6" t="s">
        <v>136</v>
      </c>
      <c r="XF207">
        <v>8729.49</v>
      </c>
      <c r="XG207">
        <v>8729.49</v>
      </c>
      <c r="XH207">
        <v>1</v>
      </c>
      <c r="XI207">
        <v>8729.49</v>
      </c>
      <c r="XJ207">
        <v>1</v>
      </c>
      <c r="XK207">
        <v>8729.49</v>
      </c>
      <c r="XL207">
        <v>8729.49</v>
      </c>
      <c r="ZG207">
        <v>8729.49</v>
      </c>
      <c r="ATZ207">
        <v>8729.49</v>
      </c>
    </row>
    <row r="208" spans="2:1010 1034:1222" x14ac:dyDescent="0.25">
      <c r="B208" s="6" t="s">
        <v>285</v>
      </c>
      <c r="AHR208">
        <v>4254.01</v>
      </c>
      <c r="AHS208">
        <v>4254.01</v>
      </c>
      <c r="AHT208">
        <v>4254.01</v>
      </c>
      <c r="AIV208">
        <v>4254.01</v>
      </c>
      <c r="ATZ208">
        <v>4254.01</v>
      </c>
    </row>
    <row r="209" spans="2:1222" x14ac:dyDescent="0.25">
      <c r="B209" s="6" t="s">
        <v>854</v>
      </c>
      <c r="C209">
        <v>60911.33</v>
      </c>
      <c r="D209">
        <v>60911.33</v>
      </c>
      <c r="E209">
        <v>60911.33</v>
      </c>
      <c r="F209">
        <v>1</v>
      </c>
      <c r="G209">
        <v>0</v>
      </c>
      <c r="H209">
        <v>0</v>
      </c>
      <c r="I209">
        <v>60911.33</v>
      </c>
      <c r="J209" t="e">
        <v>#DIV/0!</v>
      </c>
      <c r="K209">
        <v>20402.2</v>
      </c>
      <c r="L209">
        <v>20402.2</v>
      </c>
      <c r="M209">
        <v>20402.2</v>
      </c>
      <c r="N209">
        <v>1</v>
      </c>
      <c r="O209">
        <v>0</v>
      </c>
      <c r="P209">
        <v>0</v>
      </c>
      <c r="Q209">
        <v>20402.2</v>
      </c>
      <c r="R209" t="e">
        <v>#DIV/0!</v>
      </c>
      <c r="S209">
        <v>86936.95</v>
      </c>
      <c r="T209">
        <v>86936.95</v>
      </c>
      <c r="U209">
        <v>1</v>
      </c>
      <c r="V209">
        <v>0</v>
      </c>
      <c r="W209">
        <v>0</v>
      </c>
      <c r="X209">
        <v>86936.95</v>
      </c>
      <c r="Y209" t="e">
        <v>#DIV/0!</v>
      </c>
      <c r="Z209">
        <v>33997.99</v>
      </c>
      <c r="AA209">
        <v>1</v>
      </c>
      <c r="AB209">
        <v>0</v>
      </c>
      <c r="AC209">
        <v>0</v>
      </c>
      <c r="AD209">
        <v>33997.99</v>
      </c>
      <c r="AE209" t="e">
        <v>#DIV/0!</v>
      </c>
      <c r="AF209">
        <v>71549.95</v>
      </c>
      <c r="AG209">
        <v>71549.95</v>
      </c>
      <c r="AH209" t="e">
        <v>#DIV/0!</v>
      </c>
      <c r="AI209">
        <v>273798.42</v>
      </c>
      <c r="AJ209">
        <v>40847.769999999997</v>
      </c>
      <c r="AK209">
        <v>40847.769999999997</v>
      </c>
      <c r="AL209">
        <v>1</v>
      </c>
      <c r="AM209">
        <v>0</v>
      </c>
      <c r="AN209">
        <v>0</v>
      </c>
      <c r="AO209">
        <v>40847.769999999997</v>
      </c>
      <c r="AP209" t="e">
        <v>#DIV/0!</v>
      </c>
      <c r="AQ209">
        <v>24350.75</v>
      </c>
      <c r="AR209">
        <v>24350.75</v>
      </c>
      <c r="AS209">
        <v>1</v>
      </c>
      <c r="AT209">
        <v>0</v>
      </c>
      <c r="AU209">
        <v>0</v>
      </c>
      <c r="AV209">
        <v>24350.75</v>
      </c>
      <c r="AW209" t="e">
        <v>#DIV/0!</v>
      </c>
      <c r="AX209">
        <v>22863.95</v>
      </c>
      <c r="AY209">
        <v>22863.95</v>
      </c>
      <c r="AZ209">
        <v>22863.95</v>
      </c>
      <c r="BA209">
        <v>1</v>
      </c>
      <c r="BB209">
        <v>0</v>
      </c>
      <c r="BC209">
        <v>0</v>
      </c>
      <c r="BD209">
        <v>22863.95</v>
      </c>
      <c r="BE209" t="e">
        <v>#DIV/0!</v>
      </c>
      <c r="BF209">
        <v>71216.03</v>
      </c>
      <c r="BG209">
        <v>71216.03</v>
      </c>
      <c r="BH209">
        <v>1</v>
      </c>
      <c r="BI209">
        <v>0</v>
      </c>
      <c r="BJ209">
        <v>0</v>
      </c>
      <c r="BK209">
        <v>71216.03</v>
      </c>
      <c r="BL209" t="e">
        <v>#DIV/0!</v>
      </c>
      <c r="BM209">
        <v>49286.720000000001</v>
      </c>
      <c r="BN209">
        <v>49286.720000000001</v>
      </c>
      <c r="BO209">
        <v>1</v>
      </c>
      <c r="BP209">
        <v>0</v>
      </c>
      <c r="BQ209">
        <v>0</v>
      </c>
      <c r="BR209">
        <v>49286.720000000001</v>
      </c>
      <c r="BS209" t="e">
        <v>#DIV/0!</v>
      </c>
      <c r="BT209">
        <v>34729.96</v>
      </c>
      <c r="BU209">
        <v>34729.96</v>
      </c>
      <c r="BV209" t="e">
        <v>#DIV/0!</v>
      </c>
      <c r="BW209">
        <v>63170.44</v>
      </c>
      <c r="BX209">
        <v>63170.44</v>
      </c>
      <c r="BY209">
        <v>1</v>
      </c>
      <c r="BZ209">
        <v>0</v>
      </c>
      <c r="CA209">
        <v>0</v>
      </c>
      <c r="CB209">
        <v>63170.44</v>
      </c>
      <c r="CC209" t="e">
        <v>#DIV/0!</v>
      </c>
      <c r="CD209">
        <v>306465.62</v>
      </c>
      <c r="CE209">
        <v>63779.9</v>
      </c>
      <c r="CF209">
        <v>63779.9</v>
      </c>
      <c r="CG209">
        <v>63779.9</v>
      </c>
      <c r="CH209">
        <v>1</v>
      </c>
      <c r="CI209">
        <v>0</v>
      </c>
      <c r="CJ209">
        <v>0</v>
      </c>
      <c r="CK209">
        <v>63779.9</v>
      </c>
      <c r="CL209" t="e">
        <v>#DIV/0!</v>
      </c>
      <c r="CM209">
        <v>42901.51</v>
      </c>
      <c r="CN209">
        <v>1</v>
      </c>
      <c r="CO209">
        <v>0</v>
      </c>
      <c r="CP209">
        <v>0</v>
      </c>
      <c r="CQ209">
        <v>42901.51</v>
      </c>
      <c r="CR209" t="e">
        <v>#DIV/0!</v>
      </c>
      <c r="CS209">
        <v>4157.6499999999996</v>
      </c>
      <c r="CT209">
        <v>1</v>
      </c>
      <c r="CU209">
        <v>0</v>
      </c>
      <c r="CV209">
        <v>0</v>
      </c>
      <c r="CW209">
        <v>4157.6499999999996</v>
      </c>
      <c r="CX209" t="e">
        <v>#DIV/0!</v>
      </c>
      <c r="CY209">
        <v>2676.8</v>
      </c>
      <c r="CZ209">
        <v>2676.8</v>
      </c>
      <c r="DA209">
        <v>1</v>
      </c>
      <c r="DB209">
        <v>0</v>
      </c>
      <c r="DC209">
        <v>0</v>
      </c>
      <c r="DD209">
        <v>2676.8</v>
      </c>
      <c r="DE209" t="e">
        <v>#DIV/0!</v>
      </c>
      <c r="DF209">
        <v>50879.73</v>
      </c>
      <c r="DG209">
        <v>50879.73</v>
      </c>
      <c r="DH209">
        <v>50879.73</v>
      </c>
      <c r="DI209">
        <v>1</v>
      </c>
      <c r="DJ209">
        <v>0</v>
      </c>
      <c r="DK209">
        <v>0</v>
      </c>
      <c r="DL209">
        <v>50879.73</v>
      </c>
      <c r="DM209" t="e">
        <v>#DIV/0!</v>
      </c>
      <c r="DN209">
        <v>26883.82</v>
      </c>
      <c r="DO209">
        <v>26883.82</v>
      </c>
      <c r="DP209">
        <v>1</v>
      </c>
      <c r="DQ209">
        <v>0</v>
      </c>
      <c r="DR209">
        <v>0</v>
      </c>
      <c r="DS209">
        <v>26883.82</v>
      </c>
      <c r="DT209" t="e">
        <v>#DIV/0!</v>
      </c>
      <c r="DU209">
        <v>191279.41</v>
      </c>
      <c r="DV209">
        <v>11412.23</v>
      </c>
      <c r="DW209">
        <v>11412.23</v>
      </c>
      <c r="DX209" t="e">
        <v>#DIV/0!</v>
      </c>
      <c r="DY209">
        <v>32410.240000000002</v>
      </c>
      <c r="DZ209">
        <v>32410.240000000002</v>
      </c>
      <c r="EA209">
        <v>1</v>
      </c>
      <c r="EB209">
        <v>0</v>
      </c>
      <c r="EC209">
        <v>0</v>
      </c>
      <c r="ED209">
        <v>32410.240000000002</v>
      </c>
      <c r="EE209" t="e">
        <v>#DIV/0!</v>
      </c>
      <c r="EF209">
        <v>43822.47</v>
      </c>
      <c r="EG209">
        <v>63074.64</v>
      </c>
      <c r="EH209">
        <v>1</v>
      </c>
      <c r="EI209">
        <v>0</v>
      </c>
      <c r="EJ209">
        <v>0</v>
      </c>
      <c r="EK209">
        <v>63074.64</v>
      </c>
      <c r="EL209" t="e">
        <v>#DIV/0!</v>
      </c>
      <c r="EM209">
        <v>28625.14</v>
      </c>
      <c r="EN209">
        <v>28625.14</v>
      </c>
      <c r="EO209">
        <v>1</v>
      </c>
      <c r="EP209">
        <v>0</v>
      </c>
      <c r="EQ209">
        <v>0</v>
      </c>
      <c r="ER209">
        <v>28625.14</v>
      </c>
      <c r="ES209" t="e">
        <v>#DIV/0!</v>
      </c>
      <c r="ET209">
        <v>49293.96</v>
      </c>
      <c r="EU209">
        <v>49293.96</v>
      </c>
      <c r="EV209">
        <v>49293.96</v>
      </c>
      <c r="EW209">
        <v>1</v>
      </c>
      <c r="EX209">
        <v>0</v>
      </c>
      <c r="EY209">
        <v>0</v>
      </c>
      <c r="EZ209">
        <v>49293.96</v>
      </c>
      <c r="FA209" t="e">
        <v>#DIV/0!</v>
      </c>
      <c r="FB209">
        <v>35769.71</v>
      </c>
      <c r="FC209">
        <v>35769.71</v>
      </c>
      <c r="FD209" t="e">
        <v>#DIV/0!</v>
      </c>
      <c r="FE209">
        <v>25362.35</v>
      </c>
      <c r="FF209">
        <v>25362.35</v>
      </c>
      <c r="FG209" t="e">
        <v>#DIV/0!</v>
      </c>
      <c r="FH209">
        <v>18650.169999999998</v>
      </c>
      <c r="FI209">
        <v>18650.169999999998</v>
      </c>
      <c r="FJ209" t="e">
        <v>#DIV/0!</v>
      </c>
      <c r="FK209">
        <v>6349.19</v>
      </c>
      <c r="FL209">
        <v>6349.19</v>
      </c>
      <c r="FM209">
        <v>1</v>
      </c>
      <c r="FN209">
        <v>0</v>
      </c>
      <c r="FO209">
        <v>0</v>
      </c>
      <c r="FP209">
        <v>6349.19</v>
      </c>
      <c r="FQ209" t="e">
        <v>#DIV/0!</v>
      </c>
      <c r="FR209">
        <v>53087.93</v>
      </c>
      <c r="FS209">
        <v>1</v>
      </c>
      <c r="FT209">
        <v>0</v>
      </c>
      <c r="FU209">
        <v>0</v>
      </c>
      <c r="FV209">
        <v>53087.93</v>
      </c>
      <c r="FW209" t="e">
        <v>#DIV/0!</v>
      </c>
      <c r="FX209">
        <v>280213.09000000003</v>
      </c>
      <c r="FY209">
        <v>336.68</v>
      </c>
      <c r="FZ209">
        <v>336.68</v>
      </c>
      <c r="GA209">
        <v>336.68</v>
      </c>
      <c r="GB209">
        <v>1</v>
      </c>
      <c r="GC209">
        <v>0</v>
      </c>
      <c r="GD209">
        <v>0</v>
      </c>
      <c r="GE209">
        <v>336.68</v>
      </c>
      <c r="GF209" t="e">
        <v>#DIV/0!</v>
      </c>
      <c r="GG209">
        <v>77271.08</v>
      </c>
      <c r="GH209">
        <v>1</v>
      </c>
      <c r="GI209">
        <v>0</v>
      </c>
      <c r="GJ209">
        <v>0</v>
      </c>
      <c r="GK209">
        <v>77271.08</v>
      </c>
      <c r="GL209" t="e">
        <v>#DIV/0!</v>
      </c>
      <c r="GM209">
        <v>77607.759999999995</v>
      </c>
      <c r="GN209">
        <v>86247.96</v>
      </c>
      <c r="GO209">
        <v>1</v>
      </c>
      <c r="GP209">
        <v>0</v>
      </c>
      <c r="GQ209">
        <v>0</v>
      </c>
      <c r="GR209">
        <v>86247.96</v>
      </c>
      <c r="GS209" t="e">
        <v>#DIV/0!</v>
      </c>
      <c r="GT209">
        <v>88525.6</v>
      </c>
      <c r="GU209">
        <v>88525.6</v>
      </c>
      <c r="GV209" t="e">
        <v>#DIV/0!</v>
      </c>
      <c r="GW209">
        <v>174773.56</v>
      </c>
      <c r="GX209">
        <v>62052.89</v>
      </c>
      <c r="GY209">
        <v>1</v>
      </c>
      <c r="GZ209">
        <v>0</v>
      </c>
      <c r="HA209">
        <v>0</v>
      </c>
      <c r="HB209">
        <v>62052.89</v>
      </c>
      <c r="HC209" t="e">
        <v>#DIV/0!</v>
      </c>
      <c r="HD209">
        <v>82180.23</v>
      </c>
      <c r="HE209">
        <v>1</v>
      </c>
      <c r="HF209">
        <v>0</v>
      </c>
      <c r="HG209">
        <v>0</v>
      </c>
      <c r="HH209">
        <v>82180.23</v>
      </c>
      <c r="HI209" t="e">
        <v>#DIV/0!</v>
      </c>
      <c r="HJ209">
        <v>7297.22</v>
      </c>
      <c r="HK209">
        <v>7297.22</v>
      </c>
      <c r="HL209" t="e">
        <v>#DIV/0!</v>
      </c>
      <c r="HM209">
        <v>151530.34</v>
      </c>
      <c r="HN209">
        <v>33631.040000000001</v>
      </c>
      <c r="HO209">
        <v>33631.040000000001</v>
      </c>
      <c r="HP209">
        <v>1</v>
      </c>
      <c r="HQ209">
        <v>0</v>
      </c>
      <c r="HR209">
        <v>0</v>
      </c>
      <c r="HS209">
        <v>33631.040000000001</v>
      </c>
      <c r="HT209" t="e">
        <v>#DIV/0!</v>
      </c>
      <c r="HU209">
        <v>88422.06</v>
      </c>
      <c r="HV209">
        <v>88422.06</v>
      </c>
      <c r="HW209">
        <v>1</v>
      </c>
      <c r="HX209">
        <v>0</v>
      </c>
      <c r="HY209">
        <v>0</v>
      </c>
      <c r="HZ209">
        <v>88422.06</v>
      </c>
      <c r="IA209" t="e">
        <v>#DIV/0!</v>
      </c>
      <c r="IB209">
        <v>27306.95</v>
      </c>
      <c r="IC209">
        <v>1</v>
      </c>
      <c r="ID209">
        <v>0</v>
      </c>
      <c r="IE209">
        <v>0</v>
      </c>
      <c r="IF209">
        <v>27306.95</v>
      </c>
      <c r="IG209" t="e">
        <v>#DIV/0!</v>
      </c>
      <c r="IH209">
        <v>571.11</v>
      </c>
      <c r="II209">
        <v>571.11</v>
      </c>
      <c r="IJ209" t="e">
        <v>#DIV/0!</v>
      </c>
      <c r="IK209">
        <v>149931.16</v>
      </c>
      <c r="IL209">
        <v>22856.21</v>
      </c>
      <c r="IM209">
        <v>1</v>
      </c>
      <c r="IN209">
        <v>0</v>
      </c>
      <c r="IO209">
        <v>0</v>
      </c>
      <c r="IP209">
        <v>22856.21</v>
      </c>
      <c r="IQ209" t="e">
        <v>#DIV/0!</v>
      </c>
      <c r="IR209">
        <v>26128.86</v>
      </c>
      <c r="IS209">
        <v>1</v>
      </c>
      <c r="IT209">
        <v>0</v>
      </c>
      <c r="IU209">
        <v>0</v>
      </c>
      <c r="IV209">
        <v>26128.86</v>
      </c>
      <c r="IW209" t="e">
        <v>#DIV/0!</v>
      </c>
      <c r="IX209">
        <v>78907.14</v>
      </c>
      <c r="IY209">
        <v>78907.14</v>
      </c>
      <c r="IZ209">
        <v>78907.14</v>
      </c>
      <c r="JA209">
        <v>1</v>
      </c>
      <c r="JB209">
        <v>0</v>
      </c>
      <c r="JC209">
        <v>0</v>
      </c>
      <c r="JD209">
        <v>78907.14</v>
      </c>
      <c r="JE209" t="e">
        <v>#DIV/0!</v>
      </c>
      <c r="JF209">
        <v>82800.600000000006</v>
      </c>
      <c r="JG209">
        <v>1</v>
      </c>
      <c r="JH209">
        <v>0</v>
      </c>
      <c r="JI209">
        <v>0</v>
      </c>
      <c r="JJ209">
        <v>82800.600000000006</v>
      </c>
      <c r="JK209" t="e">
        <v>#DIV/0!</v>
      </c>
      <c r="JL209">
        <v>210692.81</v>
      </c>
      <c r="JM209">
        <v>13523.13</v>
      </c>
      <c r="JN209">
        <v>13523.13</v>
      </c>
      <c r="JO209">
        <v>1</v>
      </c>
      <c r="JP209">
        <v>0</v>
      </c>
      <c r="JQ209">
        <v>0</v>
      </c>
      <c r="JR209">
        <v>13523.13</v>
      </c>
      <c r="JS209" t="e">
        <v>#DIV/0!</v>
      </c>
      <c r="JT209">
        <v>56397.440000000002</v>
      </c>
      <c r="JU209">
        <v>56397.440000000002</v>
      </c>
      <c r="JV209">
        <v>1</v>
      </c>
      <c r="JW209">
        <v>0</v>
      </c>
      <c r="JX209">
        <v>0</v>
      </c>
      <c r="JY209">
        <v>56397.440000000002</v>
      </c>
      <c r="JZ209" t="e">
        <v>#DIV/0!</v>
      </c>
      <c r="KA209">
        <v>51650.16</v>
      </c>
      <c r="KB209">
        <v>51650.16</v>
      </c>
      <c r="KC209" t="e">
        <v>#DIV/0!</v>
      </c>
      <c r="KD209">
        <v>70555.59</v>
      </c>
      <c r="KE209">
        <v>70555.59</v>
      </c>
      <c r="KF209">
        <v>1</v>
      </c>
      <c r="KG209">
        <v>0</v>
      </c>
      <c r="KH209">
        <v>0</v>
      </c>
      <c r="KI209">
        <v>70555.59</v>
      </c>
      <c r="KJ209" t="e">
        <v>#DIV/0!</v>
      </c>
      <c r="KK209">
        <v>23005.3</v>
      </c>
      <c r="KL209">
        <v>1</v>
      </c>
      <c r="KM209">
        <v>0</v>
      </c>
      <c r="KN209">
        <v>0</v>
      </c>
      <c r="KO209">
        <v>23005.3</v>
      </c>
      <c r="KP209" t="e">
        <v>#DIV/0!</v>
      </c>
      <c r="KQ209">
        <v>4118.1499999999996</v>
      </c>
      <c r="KR209">
        <v>1</v>
      </c>
      <c r="KS209">
        <v>0</v>
      </c>
      <c r="KT209">
        <v>0</v>
      </c>
      <c r="KU209">
        <v>4118.1499999999996</v>
      </c>
      <c r="KV209" t="e">
        <v>#DIV/0!</v>
      </c>
      <c r="KW209">
        <v>219249.77</v>
      </c>
      <c r="KX209">
        <v>82707.17</v>
      </c>
      <c r="KY209">
        <v>82707.17</v>
      </c>
      <c r="KZ209">
        <v>82707.17</v>
      </c>
      <c r="LA209">
        <v>1</v>
      </c>
      <c r="LB209">
        <v>0</v>
      </c>
      <c r="LC209">
        <v>0</v>
      </c>
      <c r="LD209">
        <v>82707.17</v>
      </c>
      <c r="LE209" t="e">
        <v>#DIV/0!</v>
      </c>
      <c r="LF209">
        <v>56303.45</v>
      </c>
      <c r="LG209">
        <v>56303.45</v>
      </c>
      <c r="LH209">
        <v>1</v>
      </c>
      <c r="LI209">
        <v>0</v>
      </c>
      <c r="LJ209">
        <v>0</v>
      </c>
      <c r="LK209">
        <v>56303.45</v>
      </c>
      <c r="LL209" t="e">
        <v>#DIV/0!</v>
      </c>
      <c r="LM209">
        <v>70471.25</v>
      </c>
      <c r="LN209">
        <v>70471.25</v>
      </c>
      <c r="LO209">
        <v>1</v>
      </c>
      <c r="LP209">
        <v>0</v>
      </c>
      <c r="LQ209">
        <v>0</v>
      </c>
      <c r="LR209">
        <v>70471.25</v>
      </c>
      <c r="LS209" t="e">
        <v>#DIV/0!</v>
      </c>
      <c r="LT209">
        <v>1374.12</v>
      </c>
      <c r="LU209">
        <v>1</v>
      </c>
      <c r="LV209">
        <v>0</v>
      </c>
      <c r="LW209">
        <v>0</v>
      </c>
      <c r="LX209">
        <v>1374.12</v>
      </c>
      <c r="LY209" t="e">
        <v>#DIV/0!</v>
      </c>
      <c r="LZ209">
        <v>79167.850000000006</v>
      </c>
      <c r="MA209">
        <v>79167.850000000006</v>
      </c>
      <c r="MB209" t="e">
        <v>#DIV/0!</v>
      </c>
      <c r="MC209">
        <v>21370.29</v>
      </c>
      <c r="MD209">
        <v>21370.29</v>
      </c>
      <c r="ME209">
        <v>1</v>
      </c>
      <c r="MF209">
        <v>0</v>
      </c>
      <c r="MG209">
        <v>0</v>
      </c>
      <c r="MH209">
        <v>21370.29</v>
      </c>
      <c r="MI209" t="e">
        <v>#DIV/0!</v>
      </c>
      <c r="MJ209">
        <v>71699.37</v>
      </c>
      <c r="MK209">
        <v>71699.37</v>
      </c>
      <c r="ML209">
        <v>71699.37</v>
      </c>
      <c r="MM209">
        <v>1</v>
      </c>
      <c r="MN209">
        <v>0</v>
      </c>
      <c r="MO209">
        <v>0</v>
      </c>
      <c r="MP209">
        <v>71699.37</v>
      </c>
      <c r="MQ209" t="e">
        <v>#DIV/0!</v>
      </c>
      <c r="MR209">
        <v>44012.4</v>
      </c>
      <c r="MS209">
        <v>44012.4</v>
      </c>
      <c r="MT209">
        <v>44012.4</v>
      </c>
      <c r="MU209">
        <v>1</v>
      </c>
      <c r="MV209">
        <v>0</v>
      </c>
      <c r="MW209">
        <v>0</v>
      </c>
      <c r="MX209">
        <v>44012.4</v>
      </c>
      <c r="MY209" t="e">
        <v>#DIV/0!</v>
      </c>
      <c r="MZ209">
        <v>427105.9</v>
      </c>
      <c r="NA209">
        <v>13864.85</v>
      </c>
      <c r="NB209">
        <v>13864.85</v>
      </c>
      <c r="NC209">
        <v>1</v>
      </c>
      <c r="ND209">
        <v>0</v>
      </c>
      <c r="NE209">
        <v>0</v>
      </c>
      <c r="NF209">
        <v>13864.85</v>
      </c>
      <c r="NG209" t="e">
        <v>#DIV/0!</v>
      </c>
      <c r="NH209">
        <v>13302.79</v>
      </c>
      <c r="NI209">
        <v>13302.79</v>
      </c>
      <c r="NJ209" t="e">
        <v>#DIV/0!</v>
      </c>
      <c r="NK209">
        <v>40608.43</v>
      </c>
      <c r="NL209">
        <v>1</v>
      </c>
      <c r="NM209">
        <v>0</v>
      </c>
      <c r="NN209">
        <v>0</v>
      </c>
      <c r="NO209">
        <v>40608.43</v>
      </c>
      <c r="NP209" t="e">
        <v>#DIV/0!</v>
      </c>
      <c r="NQ209">
        <v>33296.620000000003</v>
      </c>
      <c r="NR209">
        <v>1</v>
      </c>
      <c r="NS209">
        <v>0</v>
      </c>
      <c r="NT209">
        <v>0</v>
      </c>
      <c r="NU209">
        <v>33296.620000000003</v>
      </c>
      <c r="NV209" t="e">
        <v>#DIV/0!</v>
      </c>
      <c r="NW209">
        <v>32464.2</v>
      </c>
      <c r="NX209">
        <v>32464.2</v>
      </c>
      <c r="NY209">
        <v>1</v>
      </c>
      <c r="NZ209">
        <v>0</v>
      </c>
      <c r="OA209">
        <v>0</v>
      </c>
      <c r="OB209">
        <v>32464.2</v>
      </c>
      <c r="OC209" t="e">
        <v>#DIV/0!</v>
      </c>
      <c r="OD209">
        <v>133536.89000000001</v>
      </c>
      <c r="OE209">
        <v>55239.21</v>
      </c>
      <c r="OF209">
        <v>1</v>
      </c>
      <c r="OG209">
        <v>0</v>
      </c>
      <c r="OH209">
        <v>0</v>
      </c>
      <c r="OI209">
        <v>55239.21</v>
      </c>
      <c r="OJ209" t="e">
        <v>#DIV/0!</v>
      </c>
      <c r="OK209">
        <v>33731.56</v>
      </c>
      <c r="OL209">
        <v>1</v>
      </c>
      <c r="OM209">
        <v>0</v>
      </c>
      <c r="ON209">
        <v>0</v>
      </c>
      <c r="OO209">
        <v>33731.56</v>
      </c>
      <c r="OP209" t="e">
        <v>#DIV/0!</v>
      </c>
      <c r="OQ209">
        <v>85416.21</v>
      </c>
      <c r="OR209">
        <v>85416.21</v>
      </c>
      <c r="OS209">
        <v>1</v>
      </c>
      <c r="OT209">
        <v>0</v>
      </c>
      <c r="OU209">
        <v>0</v>
      </c>
      <c r="OV209">
        <v>85416.21</v>
      </c>
      <c r="OW209" t="e">
        <v>#DIV/0!</v>
      </c>
      <c r="OX209">
        <v>56385.51</v>
      </c>
      <c r="OY209">
        <v>56385.51</v>
      </c>
      <c r="OZ209" t="e">
        <v>#DIV/0!</v>
      </c>
      <c r="PA209">
        <v>35319.5</v>
      </c>
      <c r="PB209">
        <v>1</v>
      </c>
      <c r="PC209">
        <v>0</v>
      </c>
      <c r="PD209">
        <v>0</v>
      </c>
      <c r="PE209">
        <v>35319.5</v>
      </c>
      <c r="PF209" t="e">
        <v>#DIV/0!</v>
      </c>
      <c r="PG209">
        <v>64562.14</v>
      </c>
      <c r="PH209">
        <v>64562.14</v>
      </c>
      <c r="PI209" t="e">
        <v>#DIV/0!</v>
      </c>
      <c r="PJ209">
        <v>330654.13</v>
      </c>
      <c r="PK209">
        <v>46521.04</v>
      </c>
      <c r="PL209">
        <v>46521.04</v>
      </c>
      <c r="PM209">
        <v>46521.04</v>
      </c>
      <c r="PN209">
        <v>1</v>
      </c>
      <c r="PO209">
        <v>0</v>
      </c>
      <c r="PP209">
        <v>0</v>
      </c>
      <c r="PQ209">
        <v>46521.04</v>
      </c>
      <c r="PR209" t="e">
        <v>#DIV/0!</v>
      </c>
      <c r="PS209">
        <v>7813.36</v>
      </c>
      <c r="PT209">
        <v>7813.36</v>
      </c>
      <c r="PU209" t="e">
        <v>#DIV/0!</v>
      </c>
      <c r="PV209">
        <v>30979.24</v>
      </c>
      <c r="PW209">
        <v>30979.24</v>
      </c>
      <c r="PX209" t="e">
        <v>#DIV/0!</v>
      </c>
      <c r="PY209">
        <v>83696.009999999995</v>
      </c>
      <c r="PZ209">
        <v>1</v>
      </c>
      <c r="QA209">
        <v>0</v>
      </c>
      <c r="QB209">
        <v>0</v>
      </c>
      <c r="QC209">
        <v>83696.009999999995</v>
      </c>
      <c r="QD209" t="e">
        <v>#DIV/0!</v>
      </c>
      <c r="QE209">
        <v>57571.13</v>
      </c>
      <c r="QF209">
        <v>57571.13</v>
      </c>
      <c r="QG209">
        <v>57571.13</v>
      </c>
      <c r="QH209">
        <v>1</v>
      </c>
      <c r="QI209">
        <v>0</v>
      </c>
      <c r="QJ209">
        <v>0</v>
      </c>
      <c r="QK209">
        <v>57571.13</v>
      </c>
      <c r="QL209" t="e">
        <v>#DIV/0!</v>
      </c>
      <c r="QM209">
        <v>5829.39</v>
      </c>
      <c r="QN209">
        <v>5829.39</v>
      </c>
      <c r="QO209" t="e">
        <v>#DIV/0!</v>
      </c>
      <c r="QP209">
        <v>80641.86</v>
      </c>
      <c r="QQ209">
        <v>1</v>
      </c>
      <c r="QR209">
        <v>0</v>
      </c>
      <c r="QS209">
        <v>0</v>
      </c>
      <c r="QT209">
        <v>80641.86</v>
      </c>
      <c r="QU209" t="e">
        <v>#DIV/0!</v>
      </c>
      <c r="QV209">
        <v>50739.62</v>
      </c>
      <c r="QW209">
        <v>50739.62</v>
      </c>
      <c r="QX209">
        <v>1</v>
      </c>
      <c r="QY209">
        <v>0</v>
      </c>
      <c r="QZ209">
        <v>0</v>
      </c>
      <c r="RA209">
        <v>50739.62</v>
      </c>
      <c r="RB209" t="e">
        <v>#DIV/0!</v>
      </c>
      <c r="RC209">
        <v>363791.64999999997</v>
      </c>
      <c r="RD209">
        <v>87003.39</v>
      </c>
      <c r="RE209">
        <v>87003.39</v>
      </c>
      <c r="RF209" t="e">
        <v>#DIV/0!</v>
      </c>
      <c r="RG209">
        <v>87003.39</v>
      </c>
      <c r="RH209">
        <v>42659.75</v>
      </c>
      <c r="RI209">
        <v>42659.75</v>
      </c>
      <c r="RJ209">
        <v>1</v>
      </c>
      <c r="RK209">
        <v>0</v>
      </c>
      <c r="RL209">
        <v>0</v>
      </c>
      <c r="RM209">
        <v>42659.75</v>
      </c>
      <c r="RN209" t="e">
        <v>#DIV/0!</v>
      </c>
      <c r="RO209">
        <v>40060.519999999997</v>
      </c>
      <c r="RP209">
        <v>40060.519999999997</v>
      </c>
      <c r="RQ209">
        <v>1</v>
      </c>
      <c r="RR209">
        <v>0</v>
      </c>
      <c r="RS209">
        <v>0</v>
      </c>
      <c r="RT209">
        <v>40060.519999999997</v>
      </c>
      <c r="RU209" t="e">
        <v>#DIV/0!</v>
      </c>
      <c r="RV209">
        <v>89704.3</v>
      </c>
      <c r="RW209">
        <v>1</v>
      </c>
      <c r="RX209">
        <v>0</v>
      </c>
      <c r="RY209">
        <v>0</v>
      </c>
      <c r="RZ209">
        <v>89704.3</v>
      </c>
      <c r="SA209" t="e">
        <v>#DIV/0!</v>
      </c>
      <c r="SB209">
        <v>23177.439999999999</v>
      </c>
      <c r="SC209">
        <v>1</v>
      </c>
      <c r="SD209">
        <v>0</v>
      </c>
      <c r="SE209">
        <v>0</v>
      </c>
      <c r="SF209">
        <v>23177.439999999999</v>
      </c>
      <c r="SG209" t="e">
        <v>#DIV/0!</v>
      </c>
      <c r="SH209">
        <v>60972.66</v>
      </c>
      <c r="SI209">
        <v>60972.66</v>
      </c>
      <c r="SJ209" t="e">
        <v>#DIV/0!</v>
      </c>
      <c r="SK209">
        <v>87614.3</v>
      </c>
      <c r="SL209">
        <v>1</v>
      </c>
      <c r="SM209">
        <v>0</v>
      </c>
      <c r="SN209">
        <v>0</v>
      </c>
      <c r="SO209">
        <v>87614.3</v>
      </c>
      <c r="SP209" t="e">
        <v>#DIV/0!</v>
      </c>
      <c r="SQ209">
        <v>54071.839999999997</v>
      </c>
      <c r="SR209">
        <v>54071.839999999997</v>
      </c>
      <c r="SS209">
        <v>54071.839999999997</v>
      </c>
      <c r="ST209">
        <v>1</v>
      </c>
      <c r="SU209">
        <v>0</v>
      </c>
      <c r="SV209">
        <v>0</v>
      </c>
      <c r="SW209">
        <v>54071.839999999997</v>
      </c>
      <c r="SX209" t="e">
        <v>#DIV/0!</v>
      </c>
      <c r="SY209">
        <v>67620.27</v>
      </c>
      <c r="SZ209">
        <v>1</v>
      </c>
      <c r="TA209">
        <v>0</v>
      </c>
      <c r="TB209">
        <v>0</v>
      </c>
      <c r="TC209">
        <v>67620.27</v>
      </c>
      <c r="TD209" t="e">
        <v>#DIV/0!</v>
      </c>
      <c r="TE209">
        <v>465881.08000000007</v>
      </c>
      <c r="TF209">
        <v>14941.36</v>
      </c>
      <c r="TG209">
        <v>14941.36</v>
      </c>
      <c r="TH209" t="e">
        <v>#DIV/0!</v>
      </c>
      <c r="TI209">
        <v>14941.36</v>
      </c>
      <c r="TJ209">
        <v>54406.29</v>
      </c>
      <c r="TK209">
        <v>1</v>
      </c>
      <c r="TL209">
        <v>0</v>
      </c>
      <c r="TM209">
        <v>0</v>
      </c>
      <c r="TN209">
        <v>54406.29</v>
      </c>
      <c r="TO209" t="e">
        <v>#DIV/0!</v>
      </c>
      <c r="TP209">
        <v>38046.22</v>
      </c>
      <c r="TQ209">
        <v>38046.22</v>
      </c>
      <c r="TR209" t="e">
        <v>#DIV/0!</v>
      </c>
      <c r="TS209">
        <v>13242.66</v>
      </c>
      <c r="TT209">
        <v>13242.66</v>
      </c>
      <c r="TU209">
        <v>13242.66</v>
      </c>
      <c r="TV209">
        <v>1</v>
      </c>
      <c r="TW209">
        <v>0</v>
      </c>
      <c r="TX209">
        <v>0</v>
      </c>
      <c r="TY209">
        <v>13242.66</v>
      </c>
      <c r="TZ209" t="e">
        <v>#DIV/0!</v>
      </c>
      <c r="UA209">
        <v>62371.5</v>
      </c>
      <c r="UB209">
        <v>62371.5</v>
      </c>
      <c r="UC209">
        <v>62371.5</v>
      </c>
      <c r="UD209">
        <v>1</v>
      </c>
      <c r="UE209">
        <v>0</v>
      </c>
      <c r="UF209">
        <v>0</v>
      </c>
      <c r="UG209">
        <v>62371.5</v>
      </c>
      <c r="UH209" t="e">
        <v>#DIV/0!</v>
      </c>
      <c r="UI209">
        <v>168066.67</v>
      </c>
      <c r="UJ209">
        <v>81192.95</v>
      </c>
      <c r="UK209">
        <v>1</v>
      </c>
      <c r="UL209">
        <v>0</v>
      </c>
      <c r="UM209">
        <v>0</v>
      </c>
      <c r="UN209">
        <v>81192.95</v>
      </c>
      <c r="UO209" t="e">
        <v>#DIV/0!</v>
      </c>
      <c r="UP209">
        <v>13893.18</v>
      </c>
      <c r="UQ209">
        <v>1</v>
      </c>
      <c r="UR209">
        <v>0</v>
      </c>
      <c r="US209">
        <v>0</v>
      </c>
      <c r="UT209">
        <v>13893.18</v>
      </c>
      <c r="UU209" t="e">
        <v>#DIV/0!</v>
      </c>
      <c r="UV209">
        <v>73677.600000000006</v>
      </c>
      <c r="UW209">
        <v>73677.600000000006</v>
      </c>
      <c r="UX209">
        <v>73677.600000000006</v>
      </c>
      <c r="UY209">
        <v>1</v>
      </c>
      <c r="UZ209">
        <v>0</v>
      </c>
      <c r="VA209">
        <v>0</v>
      </c>
      <c r="VB209">
        <v>73677.600000000006</v>
      </c>
      <c r="VC209" t="e">
        <v>#DIV/0!</v>
      </c>
      <c r="VD209">
        <v>82849.77</v>
      </c>
      <c r="VE209">
        <v>82849.77</v>
      </c>
      <c r="VF209">
        <v>82849.77</v>
      </c>
      <c r="VG209">
        <v>1</v>
      </c>
      <c r="VH209">
        <v>0</v>
      </c>
      <c r="VI209">
        <v>0</v>
      </c>
      <c r="VJ209">
        <v>82849.77</v>
      </c>
      <c r="VK209" t="e">
        <v>#DIV/0!</v>
      </c>
      <c r="VL209">
        <v>6222.75</v>
      </c>
      <c r="VM209">
        <v>6222.75</v>
      </c>
      <c r="VN209">
        <v>6222.75</v>
      </c>
      <c r="VO209">
        <v>1</v>
      </c>
      <c r="VP209">
        <v>0</v>
      </c>
      <c r="VQ209">
        <v>0</v>
      </c>
      <c r="VR209">
        <v>6222.75</v>
      </c>
      <c r="VS209" t="e">
        <v>#DIV/0!</v>
      </c>
      <c r="VT209">
        <v>257836.25</v>
      </c>
      <c r="VU209">
        <v>32905.53</v>
      </c>
      <c r="VV209">
        <v>1</v>
      </c>
      <c r="VW209">
        <v>0</v>
      </c>
      <c r="VX209">
        <v>0</v>
      </c>
      <c r="VY209">
        <v>32905.53</v>
      </c>
      <c r="VZ209" t="e">
        <v>#DIV/0!</v>
      </c>
      <c r="WA209">
        <v>29270.35</v>
      </c>
      <c r="WB209">
        <v>29270.35</v>
      </c>
      <c r="WC209">
        <v>1</v>
      </c>
      <c r="WD209">
        <v>0</v>
      </c>
      <c r="WE209">
        <v>0</v>
      </c>
      <c r="WF209">
        <v>29270.35</v>
      </c>
      <c r="WG209" t="e">
        <v>#DIV/0!</v>
      </c>
      <c r="WH209">
        <v>80223.039999999994</v>
      </c>
      <c r="WI209">
        <v>80223.039999999994</v>
      </c>
      <c r="WJ209">
        <v>1</v>
      </c>
      <c r="WK209">
        <v>0</v>
      </c>
      <c r="WL209">
        <v>0</v>
      </c>
      <c r="WM209">
        <v>80223.039999999994</v>
      </c>
      <c r="WN209" t="e">
        <v>#DIV/0!</v>
      </c>
      <c r="WO209">
        <v>29801.53</v>
      </c>
      <c r="WP209">
        <v>29801.53</v>
      </c>
      <c r="WQ209">
        <v>1</v>
      </c>
      <c r="WR209">
        <v>0</v>
      </c>
      <c r="WS209">
        <v>0</v>
      </c>
      <c r="WT209">
        <v>29801.53</v>
      </c>
      <c r="WU209" t="e">
        <v>#DIV/0!</v>
      </c>
      <c r="WV209">
        <v>6435.32</v>
      </c>
      <c r="WW209">
        <v>6435.32</v>
      </c>
      <c r="WX209" t="e">
        <v>#DIV/0!</v>
      </c>
      <c r="WY209">
        <v>178635.77</v>
      </c>
      <c r="WZ209">
        <v>48578.11</v>
      </c>
      <c r="XA209">
        <v>1</v>
      </c>
      <c r="XB209">
        <v>0</v>
      </c>
      <c r="XC209">
        <v>0</v>
      </c>
      <c r="XD209">
        <v>48578.11</v>
      </c>
      <c r="XE209" t="e">
        <v>#DIV/0!</v>
      </c>
      <c r="XF209">
        <v>8729.49</v>
      </c>
      <c r="XG209">
        <v>8729.49</v>
      </c>
      <c r="XH209">
        <v>1</v>
      </c>
      <c r="XI209">
        <v>0</v>
      </c>
      <c r="XJ209">
        <v>0</v>
      </c>
      <c r="XK209">
        <v>8729.49</v>
      </c>
      <c r="XL209" t="e">
        <v>#DIV/0!</v>
      </c>
      <c r="XM209">
        <v>45144.24</v>
      </c>
      <c r="XN209">
        <v>1</v>
      </c>
      <c r="XO209">
        <v>0</v>
      </c>
      <c r="XP209">
        <v>0</v>
      </c>
      <c r="XQ209">
        <v>45144.24</v>
      </c>
      <c r="XR209" t="e">
        <v>#DIV/0!</v>
      </c>
      <c r="XS209">
        <v>49644.62</v>
      </c>
      <c r="XT209">
        <v>1</v>
      </c>
      <c r="XU209">
        <v>0</v>
      </c>
      <c r="XV209">
        <v>0</v>
      </c>
      <c r="XW209">
        <v>49644.62</v>
      </c>
      <c r="XX209" t="e">
        <v>#DIV/0!</v>
      </c>
      <c r="XY209">
        <v>71538.320000000007</v>
      </c>
      <c r="XZ209">
        <v>71538.320000000007</v>
      </c>
      <c r="YA209">
        <v>1</v>
      </c>
      <c r="YB209">
        <v>0</v>
      </c>
      <c r="YC209">
        <v>0</v>
      </c>
      <c r="YD209">
        <v>71538.320000000007</v>
      </c>
      <c r="YE209" t="e">
        <v>#DIV/0!</v>
      </c>
      <c r="YF209">
        <v>35488.400000000001</v>
      </c>
      <c r="YG209">
        <v>35488.400000000001</v>
      </c>
      <c r="YH209">
        <v>1</v>
      </c>
      <c r="YI209">
        <v>0</v>
      </c>
      <c r="YJ209">
        <v>0</v>
      </c>
      <c r="YK209">
        <v>35488.400000000001</v>
      </c>
      <c r="YL209" t="e">
        <v>#DIV/0!</v>
      </c>
      <c r="YM209">
        <v>21442.28</v>
      </c>
      <c r="YN209">
        <v>21442.28</v>
      </c>
      <c r="YO209">
        <v>1</v>
      </c>
      <c r="YP209">
        <v>0</v>
      </c>
      <c r="YQ209">
        <v>0</v>
      </c>
      <c r="YR209">
        <v>21442.28</v>
      </c>
      <c r="YS209" t="e">
        <v>#DIV/0!</v>
      </c>
      <c r="YT209">
        <v>79446.820000000007</v>
      </c>
      <c r="YU209">
        <v>1</v>
      </c>
      <c r="YV209">
        <v>0</v>
      </c>
      <c r="YW209">
        <v>0</v>
      </c>
      <c r="YX209">
        <v>79446.820000000007</v>
      </c>
      <c r="YY209" t="e">
        <v>#DIV/0!</v>
      </c>
      <c r="YZ209">
        <v>89663</v>
      </c>
      <c r="ZA209">
        <v>89663</v>
      </c>
      <c r="ZB209">
        <v>1</v>
      </c>
      <c r="ZC209">
        <v>0</v>
      </c>
      <c r="ZD209">
        <v>0</v>
      </c>
      <c r="ZE209">
        <v>89663</v>
      </c>
      <c r="ZF209" t="e">
        <v>#DIV/0!</v>
      </c>
      <c r="ZG209">
        <v>449675.27999999997</v>
      </c>
      <c r="ZH209">
        <v>85264.3</v>
      </c>
      <c r="ZI209">
        <v>85264.3</v>
      </c>
      <c r="ZJ209">
        <v>1</v>
      </c>
      <c r="ZK209">
        <v>0</v>
      </c>
      <c r="ZL209">
        <v>0</v>
      </c>
      <c r="ZM209">
        <v>85264.3</v>
      </c>
      <c r="ZN209" t="e">
        <v>#DIV/0!</v>
      </c>
      <c r="ZO209">
        <v>26129.51</v>
      </c>
      <c r="ZP209">
        <v>1</v>
      </c>
      <c r="ZQ209">
        <v>0</v>
      </c>
      <c r="ZR209">
        <v>0</v>
      </c>
      <c r="ZS209">
        <v>26129.51</v>
      </c>
      <c r="ZT209" t="e">
        <v>#DIV/0!</v>
      </c>
      <c r="ZU209">
        <v>16107.59</v>
      </c>
      <c r="ZV209">
        <v>16107.59</v>
      </c>
      <c r="ZW209">
        <v>16107.59</v>
      </c>
      <c r="ZX209">
        <v>1</v>
      </c>
      <c r="ZY209">
        <v>0</v>
      </c>
      <c r="ZZ209">
        <v>0</v>
      </c>
      <c r="AAA209">
        <v>16107.59</v>
      </c>
      <c r="AAB209" t="e">
        <v>#DIV/0!</v>
      </c>
      <c r="AAC209">
        <v>25016.46</v>
      </c>
      <c r="AAD209">
        <v>1</v>
      </c>
      <c r="AAE209">
        <v>0</v>
      </c>
      <c r="AAF209">
        <v>0</v>
      </c>
      <c r="AAG209">
        <v>25016.46</v>
      </c>
      <c r="AAH209" t="e">
        <v>#DIV/0!</v>
      </c>
      <c r="AAI209">
        <v>45970.59</v>
      </c>
      <c r="AAJ209">
        <v>45970.59</v>
      </c>
      <c r="AAK209">
        <v>45970.59</v>
      </c>
      <c r="AAL209">
        <v>1</v>
      </c>
      <c r="AAM209">
        <v>0</v>
      </c>
      <c r="AAN209">
        <v>0</v>
      </c>
      <c r="AAO209">
        <v>45970.59</v>
      </c>
      <c r="AAP209" t="e">
        <v>#DIV/0!</v>
      </c>
      <c r="AAQ209">
        <v>65095.51</v>
      </c>
      <c r="AAR209">
        <v>1</v>
      </c>
      <c r="AAS209">
        <v>0</v>
      </c>
      <c r="AAT209">
        <v>0</v>
      </c>
      <c r="AAU209">
        <v>65095.51</v>
      </c>
      <c r="AAV209" t="e">
        <v>#DIV/0!</v>
      </c>
      <c r="AAW209">
        <v>17679.95</v>
      </c>
      <c r="AAX209">
        <v>17679.95</v>
      </c>
      <c r="AAY209" t="e">
        <v>#DIV/0!</v>
      </c>
      <c r="AAZ209">
        <v>82311.7</v>
      </c>
      <c r="ABA209">
        <v>82311.7</v>
      </c>
      <c r="ABB209" t="e">
        <v>#DIV/0!</v>
      </c>
      <c r="ABC209">
        <v>71347.63</v>
      </c>
      <c r="ABD209">
        <v>71347.63</v>
      </c>
      <c r="ABE209">
        <v>1</v>
      </c>
      <c r="ABF209">
        <v>0</v>
      </c>
      <c r="ABG209">
        <v>0</v>
      </c>
      <c r="ABH209">
        <v>71347.63</v>
      </c>
      <c r="ABI209" t="e">
        <v>#DIV/0!</v>
      </c>
      <c r="ABJ209">
        <v>38061.58</v>
      </c>
      <c r="ABK209">
        <v>38061.58</v>
      </c>
      <c r="ABL209">
        <v>38061.58</v>
      </c>
      <c r="ABM209">
        <v>1</v>
      </c>
      <c r="ABN209">
        <v>0</v>
      </c>
      <c r="ABO209">
        <v>0</v>
      </c>
      <c r="ABP209">
        <v>38061.58</v>
      </c>
      <c r="ABQ209" t="e">
        <v>#DIV/0!</v>
      </c>
      <c r="ABR209">
        <v>472984.81999999995</v>
      </c>
      <c r="ABS209">
        <v>62968.51</v>
      </c>
      <c r="ABT209">
        <v>62968.51</v>
      </c>
      <c r="ABU209">
        <v>1</v>
      </c>
      <c r="ABV209">
        <v>0</v>
      </c>
      <c r="ABW209">
        <v>0</v>
      </c>
      <c r="ABX209">
        <v>62968.51</v>
      </c>
      <c r="ABY209" t="e">
        <v>#DIV/0!</v>
      </c>
      <c r="ABZ209">
        <v>88193.17</v>
      </c>
      <c r="ACA209">
        <v>1</v>
      </c>
      <c r="ACB209">
        <v>0</v>
      </c>
      <c r="ACC209">
        <v>0</v>
      </c>
      <c r="ACD209">
        <v>88193.17</v>
      </c>
      <c r="ACE209" t="e">
        <v>#DIV/0!</v>
      </c>
      <c r="ACF209">
        <v>40457.550000000003</v>
      </c>
      <c r="ACG209">
        <v>40457.550000000003</v>
      </c>
      <c r="ACH209">
        <v>40457.550000000003</v>
      </c>
      <c r="ACI209">
        <v>1</v>
      </c>
      <c r="ACJ209">
        <v>0</v>
      </c>
      <c r="ACK209">
        <v>0</v>
      </c>
      <c r="ACL209">
        <v>40457.550000000003</v>
      </c>
      <c r="ACM209" t="e">
        <v>#DIV/0!</v>
      </c>
      <c r="ACN209">
        <v>61803.49</v>
      </c>
      <c r="ACO209">
        <v>61803.49</v>
      </c>
      <c r="ACP209">
        <v>1</v>
      </c>
      <c r="ACQ209">
        <v>0</v>
      </c>
      <c r="ACR209">
        <v>0</v>
      </c>
      <c r="ACS209">
        <v>61803.49</v>
      </c>
      <c r="ACT209" t="e">
        <v>#DIV/0!</v>
      </c>
      <c r="ACU209">
        <v>66441.679999999993</v>
      </c>
      <c r="ACV209">
        <v>66441.679999999993</v>
      </c>
      <c r="ACW209" t="e">
        <v>#DIV/0!</v>
      </c>
      <c r="ACX209">
        <v>36841.01</v>
      </c>
      <c r="ACY209">
        <v>36841.01</v>
      </c>
      <c r="ACZ209" t="e">
        <v>#DIV/0!</v>
      </c>
      <c r="ADA209">
        <v>71213.23</v>
      </c>
      <c r="ADB209">
        <v>71213.23</v>
      </c>
      <c r="ADC209">
        <v>71213.23</v>
      </c>
      <c r="ADD209">
        <v>1</v>
      </c>
      <c r="ADE209">
        <v>0</v>
      </c>
      <c r="ADF209">
        <v>0</v>
      </c>
      <c r="ADG209">
        <v>71213.23</v>
      </c>
      <c r="ADH209" t="e">
        <v>#DIV/0!</v>
      </c>
      <c r="ADI209">
        <v>427918.64</v>
      </c>
      <c r="ADJ209">
        <v>64703.05</v>
      </c>
      <c r="ADK209">
        <v>64703.05</v>
      </c>
      <c r="ADL209">
        <v>1</v>
      </c>
      <c r="ADM209">
        <v>0</v>
      </c>
      <c r="ADN209">
        <v>0</v>
      </c>
      <c r="ADO209">
        <v>64703.05</v>
      </c>
      <c r="ADP209" t="e">
        <v>#DIV/0!</v>
      </c>
      <c r="ADQ209">
        <v>12962.91</v>
      </c>
      <c r="ADR209">
        <v>1</v>
      </c>
      <c r="ADS209">
        <v>0</v>
      </c>
      <c r="ADT209">
        <v>0</v>
      </c>
      <c r="ADU209">
        <v>12962.91</v>
      </c>
      <c r="ADV209" t="e">
        <v>#DIV/0!</v>
      </c>
      <c r="ADW209">
        <v>41410.54</v>
      </c>
      <c r="ADX209">
        <v>1</v>
      </c>
      <c r="ADY209">
        <v>0</v>
      </c>
      <c r="ADZ209">
        <v>0</v>
      </c>
      <c r="AEA209">
        <v>41410.54</v>
      </c>
      <c r="AEB209" t="e">
        <v>#DIV/0!</v>
      </c>
      <c r="AEC209">
        <v>6380.07</v>
      </c>
      <c r="AED209">
        <v>6380.07</v>
      </c>
      <c r="AEE209" t="e">
        <v>#DIV/0!</v>
      </c>
      <c r="AEF209">
        <v>78764.62</v>
      </c>
      <c r="AEG209">
        <v>1</v>
      </c>
      <c r="AEH209">
        <v>0</v>
      </c>
      <c r="AEI209">
        <v>0</v>
      </c>
      <c r="AEJ209">
        <v>78764.62</v>
      </c>
      <c r="AEK209" t="e">
        <v>#DIV/0!</v>
      </c>
      <c r="AEL209">
        <v>46271.88</v>
      </c>
      <c r="AEM209">
        <v>46271.88</v>
      </c>
      <c r="AEN209">
        <v>46271.88</v>
      </c>
      <c r="AEO209">
        <v>1</v>
      </c>
      <c r="AEP209">
        <v>0</v>
      </c>
      <c r="AEQ209">
        <v>0</v>
      </c>
      <c r="AER209">
        <v>46271.88</v>
      </c>
      <c r="AES209" t="e">
        <v>#DIV/0!</v>
      </c>
      <c r="AET209">
        <v>74933.490000000005</v>
      </c>
      <c r="AEU209">
        <v>74933.490000000005</v>
      </c>
      <c r="AEV209">
        <v>1</v>
      </c>
      <c r="AEW209">
        <v>0</v>
      </c>
      <c r="AEX209">
        <v>0</v>
      </c>
      <c r="AEY209">
        <v>74933.490000000005</v>
      </c>
      <c r="AEZ209" t="e">
        <v>#DIV/0!</v>
      </c>
      <c r="AFA209">
        <v>66175.759999999995</v>
      </c>
      <c r="AFB209">
        <v>66175.759999999995</v>
      </c>
      <c r="AFC209">
        <v>66175.759999999995</v>
      </c>
      <c r="AFD209">
        <v>1</v>
      </c>
      <c r="AFE209">
        <v>0</v>
      </c>
      <c r="AFF209">
        <v>0</v>
      </c>
      <c r="AFG209">
        <v>66175.759999999995</v>
      </c>
      <c r="AFH209" t="e">
        <v>#DIV/0!</v>
      </c>
      <c r="AFI209">
        <v>79253.179999999993</v>
      </c>
      <c r="AFJ209">
        <v>1</v>
      </c>
      <c r="AFK209">
        <v>0</v>
      </c>
      <c r="AFL209">
        <v>0</v>
      </c>
      <c r="AFM209">
        <v>79253.179999999993</v>
      </c>
      <c r="AFN209" t="e">
        <v>#DIV/0!</v>
      </c>
      <c r="AFO209">
        <v>21572.26</v>
      </c>
      <c r="AFP209">
        <v>21572.26</v>
      </c>
      <c r="AFQ209">
        <v>1</v>
      </c>
      <c r="AFR209">
        <v>0</v>
      </c>
      <c r="AFS209">
        <v>0</v>
      </c>
      <c r="AFT209">
        <v>21572.26</v>
      </c>
      <c r="AFU209" t="e">
        <v>#DIV/0!</v>
      </c>
      <c r="AFV209">
        <v>492427.76</v>
      </c>
      <c r="AFW209">
        <v>68436.149999999994</v>
      </c>
      <c r="AFX209">
        <v>1</v>
      </c>
      <c r="AFY209">
        <v>0</v>
      </c>
      <c r="AFZ209">
        <v>0</v>
      </c>
      <c r="AGA209">
        <v>68436.149999999994</v>
      </c>
      <c r="AGB209" t="e">
        <v>#DIV/0!</v>
      </c>
      <c r="AGC209">
        <v>56117.91</v>
      </c>
      <c r="AGD209">
        <v>56117.91</v>
      </c>
      <c r="AGE209">
        <v>1</v>
      </c>
      <c r="AGF209">
        <v>0</v>
      </c>
      <c r="AGG209">
        <v>0</v>
      </c>
      <c r="AGH209">
        <v>56117.91</v>
      </c>
      <c r="AGI209" t="e">
        <v>#DIV/0!</v>
      </c>
      <c r="AGJ209">
        <v>3619.93</v>
      </c>
      <c r="AGK209">
        <v>3619.93</v>
      </c>
      <c r="AGL209" t="e">
        <v>#DIV/0!</v>
      </c>
      <c r="AGM209">
        <v>36306.9</v>
      </c>
      <c r="AGN209">
        <v>1</v>
      </c>
      <c r="AGO209">
        <v>0</v>
      </c>
      <c r="AGP209">
        <v>0</v>
      </c>
      <c r="AGQ209">
        <v>36306.9</v>
      </c>
      <c r="AGR209" t="e">
        <v>#DIV/0!</v>
      </c>
      <c r="AGS209">
        <v>58974.98</v>
      </c>
      <c r="AGT209">
        <v>58974.98</v>
      </c>
      <c r="AGU209">
        <v>58974.98</v>
      </c>
      <c r="AGV209">
        <v>1</v>
      </c>
      <c r="AGW209">
        <v>0</v>
      </c>
      <c r="AGX209">
        <v>0</v>
      </c>
      <c r="AGY209">
        <v>58974.98</v>
      </c>
      <c r="AGZ209" t="e">
        <v>#DIV/0!</v>
      </c>
      <c r="AHA209">
        <v>21539.16</v>
      </c>
      <c r="AHB209">
        <v>21539.16</v>
      </c>
      <c r="AHC209" t="e">
        <v>#DIV/0!</v>
      </c>
      <c r="AHD209">
        <v>19359.05</v>
      </c>
      <c r="AHE209">
        <v>1</v>
      </c>
      <c r="AHF209">
        <v>0</v>
      </c>
      <c r="AHG209">
        <v>0</v>
      </c>
      <c r="AHH209">
        <v>19359.05</v>
      </c>
      <c r="AHI209" t="e">
        <v>#DIV/0!</v>
      </c>
      <c r="AHJ209">
        <v>36485.56</v>
      </c>
      <c r="AHK209">
        <v>36485.56</v>
      </c>
      <c r="AHL209">
        <v>1</v>
      </c>
      <c r="AHM209">
        <v>0</v>
      </c>
      <c r="AHN209">
        <v>0</v>
      </c>
      <c r="AHO209">
        <v>36485.56</v>
      </c>
      <c r="AHP209" t="e">
        <v>#DIV/0!</v>
      </c>
      <c r="AHQ209">
        <v>300839.64</v>
      </c>
      <c r="AHR209">
        <v>4254.01</v>
      </c>
      <c r="AHS209">
        <v>4254.01</v>
      </c>
      <c r="AHT209" t="e">
        <v>#DIV/0!</v>
      </c>
      <c r="AHU209">
        <v>47311.15</v>
      </c>
      <c r="AHV209">
        <v>1</v>
      </c>
      <c r="AHW209">
        <v>0</v>
      </c>
      <c r="AHX209">
        <v>0</v>
      </c>
      <c r="AHY209">
        <v>47311.15</v>
      </c>
      <c r="AHZ209" t="e">
        <v>#DIV/0!</v>
      </c>
      <c r="AIA209">
        <v>42845.9</v>
      </c>
      <c r="AIB209">
        <v>1</v>
      </c>
      <c r="AIC209">
        <v>0</v>
      </c>
      <c r="AID209">
        <v>0</v>
      </c>
      <c r="AIE209">
        <v>42845.9</v>
      </c>
      <c r="AIF209" t="e">
        <v>#DIV/0!</v>
      </c>
      <c r="AIG209">
        <v>48316.49</v>
      </c>
      <c r="AIH209">
        <v>48316.49</v>
      </c>
      <c r="AII209">
        <v>1</v>
      </c>
      <c r="AIJ209">
        <v>0</v>
      </c>
      <c r="AIK209">
        <v>0</v>
      </c>
      <c r="AIL209">
        <v>48316.49</v>
      </c>
      <c r="AIM209" t="e">
        <v>#DIV/0!</v>
      </c>
      <c r="AIN209">
        <v>5751.15</v>
      </c>
      <c r="AIO209">
        <v>5751.15</v>
      </c>
      <c r="AIP209">
        <v>5751.15</v>
      </c>
      <c r="AIQ209">
        <v>1</v>
      </c>
      <c r="AIR209">
        <v>0</v>
      </c>
      <c r="AIS209">
        <v>0</v>
      </c>
      <c r="AIT209">
        <v>5751.15</v>
      </c>
      <c r="AIU209" t="e">
        <v>#DIV/0!</v>
      </c>
      <c r="AIV209">
        <v>148478.70000000001</v>
      </c>
      <c r="AIW209">
        <v>27932.68</v>
      </c>
      <c r="AIX209">
        <v>1</v>
      </c>
      <c r="AIY209">
        <v>0</v>
      </c>
      <c r="AIZ209">
        <v>0</v>
      </c>
      <c r="AJA209">
        <v>27932.68</v>
      </c>
      <c r="AJB209" t="e">
        <v>#DIV/0!</v>
      </c>
      <c r="AJC209">
        <v>76370.97</v>
      </c>
      <c r="AJD209">
        <v>76370.97</v>
      </c>
      <c r="AJE209" t="e">
        <v>#DIV/0!</v>
      </c>
      <c r="AJF209">
        <v>58282.41</v>
      </c>
      <c r="AJG209">
        <v>58282.41</v>
      </c>
      <c r="AJH209">
        <v>1</v>
      </c>
      <c r="AJI209">
        <v>0</v>
      </c>
      <c r="AJJ209">
        <v>0</v>
      </c>
      <c r="AJK209">
        <v>58282.41</v>
      </c>
      <c r="AJL209" t="e">
        <v>#DIV/0!</v>
      </c>
      <c r="AJM209">
        <v>24892.78</v>
      </c>
      <c r="AJN209">
        <v>24892.78</v>
      </c>
      <c r="AJO209">
        <v>1</v>
      </c>
      <c r="AJP209">
        <v>0</v>
      </c>
      <c r="AJQ209">
        <v>0</v>
      </c>
      <c r="AJR209">
        <v>24892.78</v>
      </c>
      <c r="AJS209" t="e">
        <v>#DIV/0!</v>
      </c>
      <c r="AJT209">
        <v>10271.66</v>
      </c>
      <c r="AJU209">
        <v>1</v>
      </c>
      <c r="AJV209">
        <v>0</v>
      </c>
      <c r="AJW209">
        <v>0</v>
      </c>
      <c r="AJX209">
        <v>10271.66</v>
      </c>
      <c r="AJY209" t="e">
        <v>#DIV/0!</v>
      </c>
      <c r="AJZ209">
        <v>45015.519999999997</v>
      </c>
      <c r="AKA209">
        <v>45015.519999999997</v>
      </c>
      <c r="AKB209" t="e">
        <v>#DIV/0!</v>
      </c>
      <c r="AKC209">
        <v>242766.02</v>
      </c>
      <c r="AKD209">
        <v>22188.53</v>
      </c>
      <c r="AKE209">
        <v>22188.53</v>
      </c>
      <c r="AKF209" t="e">
        <v>#DIV/0!</v>
      </c>
      <c r="AKG209">
        <v>83001.91</v>
      </c>
      <c r="AKH209">
        <v>83001.91</v>
      </c>
      <c r="AKI209">
        <v>1</v>
      </c>
      <c r="AKJ209">
        <v>0</v>
      </c>
      <c r="AKK209">
        <v>0</v>
      </c>
      <c r="AKL209">
        <v>83001.91</v>
      </c>
      <c r="AKM209" t="e">
        <v>#DIV/0!</v>
      </c>
      <c r="AKN209">
        <v>978.01</v>
      </c>
      <c r="AKO209">
        <v>1</v>
      </c>
      <c r="AKP209">
        <v>0</v>
      </c>
      <c r="AKQ209">
        <v>0</v>
      </c>
      <c r="AKR209">
        <v>978.01</v>
      </c>
      <c r="AKS209" t="e">
        <v>#DIV/0!</v>
      </c>
      <c r="AKT209">
        <v>78772.259999999995</v>
      </c>
      <c r="AKU209">
        <v>1</v>
      </c>
      <c r="AKV209">
        <v>0</v>
      </c>
      <c r="AKW209">
        <v>0</v>
      </c>
      <c r="AKX209">
        <v>78772.259999999995</v>
      </c>
      <c r="AKY209" t="e">
        <v>#DIV/0!</v>
      </c>
      <c r="AKZ209">
        <v>78228.34</v>
      </c>
      <c r="ALA209">
        <v>78228.34</v>
      </c>
      <c r="ALB209">
        <v>1</v>
      </c>
      <c r="ALC209">
        <v>0</v>
      </c>
      <c r="ALD209">
        <v>0</v>
      </c>
      <c r="ALE209">
        <v>78228.34</v>
      </c>
      <c r="ALF209" t="e">
        <v>#DIV/0!</v>
      </c>
      <c r="ALG209">
        <v>20126.98</v>
      </c>
      <c r="ALH209">
        <v>20126.98</v>
      </c>
      <c r="ALI209" t="e">
        <v>#DIV/0!</v>
      </c>
      <c r="ALJ209">
        <v>11115.72</v>
      </c>
      <c r="ALK209">
        <v>11115.72</v>
      </c>
      <c r="ALL209" t="e">
        <v>#DIV/0!</v>
      </c>
      <c r="ALM209">
        <v>37103.4</v>
      </c>
      <c r="ALN209">
        <v>1</v>
      </c>
      <c r="ALO209">
        <v>0</v>
      </c>
      <c r="ALP209">
        <v>0</v>
      </c>
      <c r="ALQ209">
        <v>37103.4</v>
      </c>
      <c r="ALR209" t="e">
        <v>#DIV/0!</v>
      </c>
      <c r="ALS209">
        <v>86954.37</v>
      </c>
      <c r="ALT209">
        <v>86954.37</v>
      </c>
      <c r="ALU209" t="e">
        <v>#DIV/0!</v>
      </c>
      <c r="ALV209">
        <v>418469.52</v>
      </c>
      <c r="ALW209">
        <v>50924.3</v>
      </c>
      <c r="ALX209">
        <v>50924.3</v>
      </c>
      <c r="ALY209" t="e">
        <v>#DIV/0!</v>
      </c>
      <c r="ALZ209">
        <v>54746.71</v>
      </c>
      <c r="AMA209">
        <v>54746.71</v>
      </c>
      <c r="AMB209">
        <v>1</v>
      </c>
      <c r="AMC209">
        <v>0</v>
      </c>
      <c r="AMD209">
        <v>0</v>
      </c>
      <c r="AME209">
        <v>54746.71</v>
      </c>
      <c r="AMF209" t="e">
        <v>#DIV/0!</v>
      </c>
      <c r="AMG209">
        <v>84391</v>
      </c>
      <c r="AMH209">
        <v>1</v>
      </c>
      <c r="AMI209">
        <v>0</v>
      </c>
      <c r="AMJ209">
        <v>0</v>
      </c>
      <c r="AMK209">
        <v>84391</v>
      </c>
      <c r="AML209" t="e">
        <v>#DIV/0!</v>
      </c>
      <c r="AMM209">
        <v>10628.5</v>
      </c>
      <c r="AMN209">
        <v>10628.5</v>
      </c>
      <c r="AMO209">
        <v>1</v>
      </c>
      <c r="AMP209">
        <v>0</v>
      </c>
      <c r="AMQ209">
        <v>0</v>
      </c>
      <c r="AMR209">
        <v>10628.5</v>
      </c>
      <c r="AMS209" t="e">
        <v>#DIV/0!</v>
      </c>
      <c r="AMT209">
        <v>36714.550000000003</v>
      </c>
      <c r="AMU209">
        <v>36714.550000000003</v>
      </c>
      <c r="AMV209" t="e">
        <v>#DIV/0!</v>
      </c>
      <c r="AMW209">
        <v>23840.38</v>
      </c>
      <c r="AMX209">
        <v>23840.38</v>
      </c>
      <c r="AMY209" t="e">
        <v>#DIV/0!</v>
      </c>
      <c r="AMZ209">
        <v>48371.360000000001</v>
      </c>
      <c r="ANA209">
        <v>48371.360000000001</v>
      </c>
      <c r="ANB209">
        <v>1</v>
      </c>
      <c r="ANC209">
        <v>0</v>
      </c>
      <c r="AND209">
        <v>0</v>
      </c>
      <c r="ANE209">
        <v>48371.360000000001</v>
      </c>
      <c r="ANF209" t="e">
        <v>#DIV/0!</v>
      </c>
      <c r="ANG209">
        <v>58789.74</v>
      </c>
      <c r="ANH209">
        <v>1</v>
      </c>
      <c r="ANI209">
        <v>0</v>
      </c>
      <c r="ANJ209">
        <v>0</v>
      </c>
      <c r="ANK209">
        <v>58789.74</v>
      </c>
      <c r="ANL209" t="e">
        <v>#DIV/0!</v>
      </c>
      <c r="ANM209">
        <v>368406.54</v>
      </c>
      <c r="ANN209">
        <v>718.49</v>
      </c>
      <c r="ANO209">
        <v>718.49</v>
      </c>
      <c r="ANP209">
        <v>1</v>
      </c>
      <c r="ANQ209">
        <v>0</v>
      </c>
      <c r="ANR209">
        <v>0</v>
      </c>
      <c r="ANS209">
        <v>718.49</v>
      </c>
      <c r="ANT209" t="e">
        <v>#DIV/0!</v>
      </c>
      <c r="ANU209">
        <v>25079.8</v>
      </c>
      <c r="ANV209">
        <v>25079.8</v>
      </c>
      <c r="ANW209" t="e">
        <v>#DIV/0!</v>
      </c>
      <c r="ANX209">
        <v>79331.37</v>
      </c>
      <c r="ANY209">
        <v>1</v>
      </c>
      <c r="ANZ209">
        <v>0</v>
      </c>
      <c r="AOA209">
        <v>0</v>
      </c>
      <c r="AOB209">
        <v>79331.37</v>
      </c>
      <c r="AOC209" t="e">
        <v>#DIV/0!</v>
      </c>
      <c r="AOD209">
        <v>6333.53</v>
      </c>
      <c r="AOE209">
        <v>6333.53</v>
      </c>
      <c r="AOF209">
        <v>1</v>
      </c>
      <c r="AOG209">
        <v>0</v>
      </c>
      <c r="AOH209">
        <v>0</v>
      </c>
      <c r="AOI209">
        <v>6333.53</v>
      </c>
      <c r="AOJ209" t="e">
        <v>#DIV/0!</v>
      </c>
      <c r="AOK209">
        <v>58381.49</v>
      </c>
      <c r="AOL209">
        <v>1</v>
      </c>
      <c r="AOM209">
        <v>0</v>
      </c>
      <c r="AON209">
        <v>0</v>
      </c>
      <c r="AOO209">
        <v>58381.49</v>
      </c>
      <c r="AOP209" t="e">
        <v>#DIV/0!</v>
      </c>
      <c r="AOQ209">
        <v>35618.050000000003</v>
      </c>
      <c r="AOR209">
        <v>35618.050000000003</v>
      </c>
      <c r="AOS209">
        <v>1</v>
      </c>
      <c r="AOT209">
        <v>0</v>
      </c>
      <c r="AOU209">
        <v>0</v>
      </c>
      <c r="AOV209">
        <v>35618.050000000003</v>
      </c>
      <c r="AOW209" t="e">
        <v>#DIV/0!</v>
      </c>
      <c r="AOX209">
        <v>78029.36</v>
      </c>
      <c r="AOY209">
        <v>78029.36</v>
      </c>
      <c r="AOZ209">
        <v>1</v>
      </c>
      <c r="APA209">
        <v>0</v>
      </c>
      <c r="APB209">
        <v>0</v>
      </c>
      <c r="APC209">
        <v>78029.36</v>
      </c>
      <c r="APD209" t="e">
        <v>#DIV/0!</v>
      </c>
      <c r="APE209">
        <v>43316.480000000003</v>
      </c>
      <c r="APF209">
        <v>43316.480000000003</v>
      </c>
      <c r="APG209">
        <v>1</v>
      </c>
      <c r="APH209">
        <v>0</v>
      </c>
      <c r="API209">
        <v>0</v>
      </c>
      <c r="APJ209">
        <v>43316.480000000003</v>
      </c>
      <c r="APK209" t="e">
        <v>#DIV/0!</v>
      </c>
      <c r="APL209">
        <v>326808.56999999995</v>
      </c>
      <c r="APM209">
        <v>15735.99</v>
      </c>
      <c r="APN209">
        <v>1</v>
      </c>
      <c r="APO209">
        <v>0</v>
      </c>
      <c r="APP209">
        <v>0</v>
      </c>
      <c r="APQ209">
        <v>15735.99</v>
      </c>
      <c r="APR209" t="e">
        <v>#DIV/0!</v>
      </c>
      <c r="APS209">
        <v>33991.89</v>
      </c>
      <c r="APT209">
        <v>1</v>
      </c>
      <c r="APU209">
        <v>0</v>
      </c>
      <c r="APV209">
        <v>0</v>
      </c>
      <c r="APW209">
        <v>33991.89</v>
      </c>
      <c r="APX209" t="e">
        <v>#DIV/0!</v>
      </c>
      <c r="APY209">
        <v>66029.7</v>
      </c>
      <c r="APZ209">
        <v>1</v>
      </c>
      <c r="AQA209">
        <v>0</v>
      </c>
      <c r="AQB209">
        <v>0</v>
      </c>
      <c r="AQC209">
        <v>66029.7</v>
      </c>
      <c r="AQD209" t="e">
        <v>#DIV/0!</v>
      </c>
      <c r="AQE209">
        <v>115757.58</v>
      </c>
      <c r="AQF209">
        <v>16459.38</v>
      </c>
      <c r="AQG209">
        <v>16459.38</v>
      </c>
      <c r="AQH209">
        <v>16459.38</v>
      </c>
      <c r="AQI209">
        <v>1</v>
      </c>
      <c r="AQJ209">
        <v>0</v>
      </c>
      <c r="AQK209">
        <v>0</v>
      </c>
      <c r="AQL209">
        <v>16459.38</v>
      </c>
      <c r="AQM209" t="e">
        <v>#DIV/0!</v>
      </c>
      <c r="AQN209">
        <v>73875.25</v>
      </c>
      <c r="AQO209">
        <v>73875.25</v>
      </c>
      <c r="AQP209">
        <v>1</v>
      </c>
      <c r="AQQ209">
        <v>0</v>
      </c>
      <c r="AQR209">
        <v>0</v>
      </c>
      <c r="AQS209">
        <v>73875.25</v>
      </c>
      <c r="AQT209" t="e">
        <v>#DIV/0!</v>
      </c>
      <c r="AQU209">
        <v>3387.11</v>
      </c>
      <c r="AQV209">
        <v>1</v>
      </c>
      <c r="AQW209">
        <v>0</v>
      </c>
      <c r="AQX209">
        <v>0</v>
      </c>
      <c r="AQY209">
        <v>3387.11</v>
      </c>
      <c r="AQZ209" t="e">
        <v>#DIV/0!</v>
      </c>
      <c r="ARA209">
        <v>768.33</v>
      </c>
      <c r="ARB209">
        <v>768.33</v>
      </c>
      <c r="ARC209">
        <v>768.33</v>
      </c>
      <c r="ARD209">
        <v>1</v>
      </c>
      <c r="ARE209">
        <v>0</v>
      </c>
      <c r="ARF209">
        <v>0</v>
      </c>
      <c r="ARG209">
        <v>768.33</v>
      </c>
      <c r="ARH209" t="e">
        <v>#DIV/0!</v>
      </c>
      <c r="ARI209">
        <v>71578.97</v>
      </c>
      <c r="ARJ209">
        <v>71578.97</v>
      </c>
      <c r="ARK209" t="e">
        <v>#DIV/0!</v>
      </c>
      <c r="ARL209">
        <v>49573.54</v>
      </c>
      <c r="ARM209">
        <v>49573.54</v>
      </c>
      <c r="ARN209" t="e">
        <v>#DIV/0!</v>
      </c>
      <c r="ARO209">
        <v>65413.5</v>
      </c>
      <c r="ARP209">
        <v>1</v>
      </c>
      <c r="ARQ209">
        <v>0</v>
      </c>
      <c r="ARR209">
        <v>0</v>
      </c>
      <c r="ARS209">
        <v>65413.5</v>
      </c>
      <c r="ART209" t="e">
        <v>#DIV/0!</v>
      </c>
      <c r="ARU209">
        <v>281056.08</v>
      </c>
      <c r="ARV209">
        <v>35270.660000000003</v>
      </c>
      <c r="ARW209">
        <v>35270.660000000003</v>
      </c>
      <c r="ARX209" t="e">
        <v>#DIV/0!</v>
      </c>
      <c r="ARY209">
        <v>37203.35</v>
      </c>
      <c r="ARZ209">
        <v>37203.35</v>
      </c>
      <c r="ASA209">
        <v>37203.35</v>
      </c>
      <c r="ASB209">
        <v>1</v>
      </c>
      <c r="ASC209">
        <v>0</v>
      </c>
      <c r="ASD209">
        <v>0</v>
      </c>
      <c r="ASE209">
        <v>37203.35</v>
      </c>
      <c r="ASF209" t="e">
        <v>#DIV/0!</v>
      </c>
      <c r="ASG209">
        <v>61368.98</v>
      </c>
      <c r="ASH209">
        <v>1</v>
      </c>
      <c r="ASI209">
        <v>0</v>
      </c>
      <c r="ASJ209">
        <v>0</v>
      </c>
      <c r="ASK209">
        <v>61368.98</v>
      </c>
      <c r="ASL209" t="e">
        <v>#DIV/0!</v>
      </c>
      <c r="ASM209">
        <v>30923.360000000001</v>
      </c>
      <c r="ASN209">
        <v>30923.360000000001</v>
      </c>
      <c r="ASO209">
        <v>1</v>
      </c>
      <c r="ASP209">
        <v>0</v>
      </c>
      <c r="ASQ209">
        <v>0</v>
      </c>
      <c r="ASR209">
        <v>30923.360000000001</v>
      </c>
      <c r="ASS209" t="e">
        <v>#DIV/0!</v>
      </c>
      <c r="AST209">
        <v>16035.43</v>
      </c>
      <c r="ASU209">
        <v>1</v>
      </c>
      <c r="ASV209">
        <v>0</v>
      </c>
      <c r="ASW209">
        <v>0</v>
      </c>
      <c r="ASX209">
        <v>16035.43</v>
      </c>
      <c r="ASY209" t="e">
        <v>#DIV/0!</v>
      </c>
      <c r="ASZ209">
        <v>16861.830000000002</v>
      </c>
      <c r="ATA209">
        <v>16861.830000000002</v>
      </c>
      <c r="ATB209">
        <v>16861.830000000002</v>
      </c>
      <c r="ATC209">
        <v>1</v>
      </c>
      <c r="ATD209">
        <v>0</v>
      </c>
      <c r="ATE209">
        <v>0</v>
      </c>
      <c r="ATF209">
        <v>16861.830000000002</v>
      </c>
      <c r="ATG209" t="e">
        <v>#DIV/0!</v>
      </c>
      <c r="ATH209">
        <v>197663.61000000002</v>
      </c>
      <c r="ATI209">
        <v>38717.9</v>
      </c>
      <c r="ATJ209">
        <v>38717.9</v>
      </c>
      <c r="ATK209">
        <v>1</v>
      </c>
      <c r="ATL209">
        <v>0</v>
      </c>
      <c r="ATM209">
        <v>0</v>
      </c>
      <c r="ATN209">
        <v>38717.9</v>
      </c>
      <c r="ATO209" t="e">
        <v>#DIV/0!</v>
      </c>
      <c r="ATP209">
        <v>87450</v>
      </c>
      <c r="ATQ209">
        <v>87450</v>
      </c>
      <c r="ATR209" t="e">
        <v>#DIV/0!</v>
      </c>
      <c r="ATS209">
        <v>33525.82</v>
      </c>
      <c r="ATT209">
        <v>33525.82</v>
      </c>
      <c r="ATU209" t="e">
        <v>#DIV/0!</v>
      </c>
      <c r="ATV209">
        <v>86567.11</v>
      </c>
      <c r="ATW209">
        <v>86567.11</v>
      </c>
      <c r="ATX209" t="e">
        <v>#DIV/0!</v>
      </c>
      <c r="ATY209">
        <v>246260.83000000002</v>
      </c>
      <c r="ATZ209">
        <v>8996331.0900000054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PivotTables</vt:lpstr>
      <vt:lpstr>PivotTableMultSubtotals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Källman</dc:creator>
  <cp:lastModifiedBy>Jan Källman</cp:lastModifiedBy>
  <dcterms:created xsi:type="dcterms:W3CDTF">2024-04-12T06:34:58Z</dcterms:created>
  <dcterms:modified xsi:type="dcterms:W3CDTF">2025-03-13T09:31:26Z</dcterms:modified>
</cp:coreProperties>
</file>